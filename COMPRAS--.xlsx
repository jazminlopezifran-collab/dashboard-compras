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lopez\Desktop\Jazmín\COMPRAS 2026\"/>
    </mc:Choice>
  </mc:AlternateContent>
  <xr:revisionPtr revIDLastSave="0" documentId="13_ncr:1_{BD50671E-632F-468B-A339-525329B3CC73}" xr6:coauthVersionLast="47" xr6:coauthVersionMax="47" xr10:uidLastSave="{00000000-0000-0000-0000-000000000000}"/>
  <bookViews>
    <workbookView xWindow="-120" yWindow="-120" windowWidth="20730" windowHeight="11040" activeTab="1" xr2:uid="{B308AD57-4154-456E-A659-7D1101AC72C4}"/>
  </bookViews>
  <sheets>
    <sheet name="Hoja1" sheetId="5" r:id="rId1"/>
    <sheet name="Historial de compras" sheetId="1" r:id="rId2"/>
    <sheet name="Cotizaciones" sheetId="4" r:id="rId3"/>
    <sheet name="TC_BNA xlsx" sheetId="3" r:id="rId4"/>
    <sheet name="TD - Insumos" sheetId="6" r:id="rId5"/>
  </sheets>
  <definedNames>
    <definedName name="DatosExternos_1" localSheetId="3" hidden="1">'TC_BNA xlsx'!$A$1:$C$64</definedName>
  </definedNames>
  <calcPr calcId="191029"/>
  <pivotCaches>
    <pivotCache cacheId="27" r:id="rId6"/>
    <pivotCache cacheId="2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64" i="4" l="1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E26" i="4"/>
  <c r="E25" i="4"/>
  <c r="E24" i="4"/>
  <c r="E23" i="4"/>
  <c r="E22" i="4"/>
  <c r="E21" i="4"/>
  <c r="E20" i="4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4" i="1"/>
  <c r="B253" i="1"/>
  <c r="B252" i="1"/>
  <c r="B251" i="1"/>
  <c r="B250" i="1"/>
  <c r="D251" i="1"/>
  <c r="D252" i="1"/>
  <c r="D253" i="1"/>
  <c r="D254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M251" i="1"/>
  <c r="N251" i="1" s="1"/>
  <c r="M252" i="1"/>
  <c r="N252" i="1" s="1"/>
  <c r="M253" i="1"/>
  <c r="N253" i="1" s="1"/>
  <c r="M254" i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M278" i="1"/>
  <c r="N278" i="1" s="1"/>
  <c r="M279" i="1"/>
  <c r="N279" i="1" s="1"/>
  <c r="M280" i="1"/>
  <c r="N280" i="1" s="1"/>
  <c r="M281" i="1"/>
  <c r="N281" i="1" s="1"/>
  <c r="M282" i="1"/>
  <c r="N282" i="1" s="1"/>
  <c r="M283" i="1"/>
  <c r="N283" i="1" s="1"/>
  <c r="M284" i="1"/>
  <c r="N284" i="1" s="1"/>
  <c r="M285" i="1"/>
  <c r="N285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M303" i="1"/>
  <c r="N303" i="1" s="1"/>
  <c r="M304" i="1"/>
  <c r="N304" i="1" s="1"/>
  <c r="M305" i="1"/>
  <c r="M306" i="1"/>
  <c r="N306" i="1" s="1"/>
  <c r="M307" i="1"/>
  <c r="N307" i="1" s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N319" i="1" s="1"/>
  <c r="M320" i="1"/>
  <c r="N320" i="1" s="1"/>
  <c r="M321" i="1"/>
  <c r="N321" i="1" s="1"/>
  <c r="M322" i="1"/>
  <c r="N322" i="1" s="1"/>
  <c r="M323" i="1"/>
  <c r="N323" i="1" s="1"/>
  <c r="M324" i="1"/>
  <c r="N324" i="1" s="1"/>
  <c r="M325" i="1"/>
  <c r="N325" i="1" s="1"/>
  <c r="M326" i="1"/>
  <c r="N326" i="1" s="1"/>
  <c r="N254" i="1"/>
  <c r="N277" i="1"/>
  <c r="N302" i="1"/>
  <c r="N305" i="1"/>
  <c r="P251" i="1"/>
  <c r="I251" i="1" s="1"/>
  <c r="P252" i="1"/>
  <c r="I252" i="1" s="1"/>
  <c r="P253" i="1"/>
  <c r="I253" i="1" s="1"/>
  <c r="P254" i="1"/>
  <c r="I254" i="1" s="1"/>
  <c r="P256" i="1"/>
  <c r="I256" i="1" s="1"/>
  <c r="P257" i="1"/>
  <c r="I257" i="1" s="1"/>
  <c r="P258" i="1"/>
  <c r="I258" i="1" s="1"/>
  <c r="P259" i="1"/>
  <c r="I259" i="1" s="1"/>
  <c r="P260" i="1"/>
  <c r="I260" i="1" s="1"/>
  <c r="P261" i="1"/>
  <c r="I261" i="1" s="1"/>
  <c r="P262" i="1"/>
  <c r="I262" i="1" s="1"/>
  <c r="P263" i="1"/>
  <c r="I263" i="1" s="1"/>
  <c r="P264" i="1"/>
  <c r="I264" i="1" s="1"/>
  <c r="P265" i="1"/>
  <c r="I265" i="1" s="1"/>
  <c r="P266" i="1"/>
  <c r="I266" i="1" s="1"/>
  <c r="P267" i="1"/>
  <c r="I267" i="1" s="1"/>
  <c r="P268" i="1"/>
  <c r="I268" i="1" s="1"/>
  <c r="P269" i="1"/>
  <c r="I269" i="1" s="1"/>
  <c r="P270" i="1"/>
  <c r="I270" i="1" s="1"/>
  <c r="P271" i="1"/>
  <c r="I271" i="1" s="1"/>
  <c r="P272" i="1"/>
  <c r="I272" i="1" s="1"/>
  <c r="P273" i="1"/>
  <c r="I273" i="1" s="1"/>
  <c r="P274" i="1"/>
  <c r="I274" i="1" s="1"/>
  <c r="P275" i="1"/>
  <c r="I275" i="1" s="1"/>
  <c r="P276" i="1"/>
  <c r="I276" i="1" s="1"/>
  <c r="P277" i="1"/>
  <c r="I277" i="1" s="1"/>
  <c r="P278" i="1"/>
  <c r="I278" i="1" s="1"/>
  <c r="P279" i="1"/>
  <c r="I279" i="1" s="1"/>
  <c r="P280" i="1"/>
  <c r="I280" i="1" s="1"/>
  <c r="P281" i="1"/>
  <c r="I281" i="1" s="1"/>
  <c r="P282" i="1"/>
  <c r="I282" i="1" s="1"/>
  <c r="P283" i="1"/>
  <c r="I283" i="1" s="1"/>
  <c r="P284" i="1"/>
  <c r="I284" i="1" s="1"/>
  <c r="P285" i="1"/>
  <c r="I285" i="1" s="1"/>
  <c r="P286" i="1"/>
  <c r="I286" i="1" s="1"/>
  <c r="P287" i="1"/>
  <c r="I287" i="1" s="1"/>
  <c r="P288" i="1"/>
  <c r="I288" i="1" s="1"/>
  <c r="P289" i="1"/>
  <c r="I289" i="1" s="1"/>
  <c r="P290" i="1"/>
  <c r="I290" i="1" s="1"/>
  <c r="P291" i="1"/>
  <c r="I291" i="1" s="1"/>
  <c r="P292" i="1"/>
  <c r="I292" i="1" s="1"/>
  <c r="P293" i="1"/>
  <c r="I293" i="1" s="1"/>
  <c r="P294" i="1"/>
  <c r="I294" i="1" s="1"/>
  <c r="P295" i="1"/>
  <c r="I295" i="1" s="1"/>
  <c r="P296" i="1"/>
  <c r="I296" i="1" s="1"/>
  <c r="P297" i="1"/>
  <c r="I297" i="1" s="1"/>
  <c r="P298" i="1"/>
  <c r="I298" i="1" s="1"/>
  <c r="P299" i="1"/>
  <c r="I299" i="1" s="1"/>
  <c r="P300" i="1"/>
  <c r="I300" i="1" s="1"/>
  <c r="P301" i="1"/>
  <c r="I301" i="1" s="1"/>
  <c r="P302" i="1"/>
  <c r="I302" i="1" s="1"/>
  <c r="P303" i="1"/>
  <c r="I303" i="1" s="1"/>
  <c r="P304" i="1"/>
  <c r="I304" i="1" s="1"/>
  <c r="P305" i="1"/>
  <c r="I305" i="1" s="1"/>
  <c r="P306" i="1"/>
  <c r="I306" i="1" s="1"/>
  <c r="P307" i="1"/>
  <c r="I307" i="1" s="1"/>
  <c r="P308" i="1"/>
  <c r="I308" i="1" s="1"/>
  <c r="P309" i="1"/>
  <c r="I309" i="1" s="1"/>
  <c r="P310" i="1"/>
  <c r="I310" i="1" s="1"/>
  <c r="P311" i="1"/>
  <c r="I311" i="1" s="1"/>
  <c r="P312" i="1"/>
  <c r="I312" i="1" s="1"/>
  <c r="P313" i="1"/>
  <c r="I313" i="1" s="1"/>
  <c r="P314" i="1"/>
  <c r="I314" i="1" s="1"/>
  <c r="P315" i="1"/>
  <c r="I315" i="1" s="1"/>
  <c r="P316" i="1"/>
  <c r="I316" i="1" s="1"/>
  <c r="P317" i="1"/>
  <c r="I317" i="1" s="1"/>
  <c r="P318" i="1"/>
  <c r="I318" i="1" s="1"/>
  <c r="P319" i="1"/>
  <c r="I319" i="1" s="1"/>
  <c r="P320" i="1"/>
  <c r="I320" i="1" s="1"/>
  <c r="P321" i="1"/>
  <c r="I321" i="1" s="1"/>
  <c r="P322" i="1"/>
  <c r="I322" i="1" s="1"/>
  <c r="P323" i="1"/>
  <c r="I323" i="1" s="1"/>
  <c r="P324" i="1"/>
  <c r="I324" i="1" s="1"/>
  <c r="P325" i="1"/>
  <c r="I325" i="1" s="1"/>
  <c r="P326" i="1"/>
  <c r="I326" i="1" s="1"/>
  <c r="D250" i="1"/>
  <c r="M250" i="1"/>
  <c r="N250" i="1" s="1"/>
  <c r="P250" i="1"/>
  <c r="I250" i="1" s="1"/>
  <c r="O305" i="1" l="1"/>
  <c r="O286" i="1"/>
  <c r="O257" i="1"/>
  <c r="O324" i="1"/>
  <c r="O320" i="1"/>
  <c r="O316" i="1"/>
  <c r="O312" i="1"/>
  <c r="O308" i="1"/>
  <c r="O304" i="1"/>
  <c r="O300" i="1"/>
  <c r="O296" i="1"/>
  <c r="O292" i="1"/>
  <c r="O288" i="1"/>
  <c r="O284" i="1"/>
  <c r="O280" i="1"/>
  <c r="O276" i="1"/>
  <c r="O272" i="1"/>
  <c r="O268" i="1"/>
  <c r="O264" i="1"/>
  <c r="O260" i="1"/>
  <c r="O256" i="1"/>
  <c r="O321" i="1"/>
  <c r="O273" i="1"/>
  <c r="O289" i="1"/>
  <c r="O278" i="1"/>
  <c r="O262" i="1"/>
  <c r="O270" i="1"/>
  <c r="O313" i="1"/>
  <c r="O297" i="1"/>
  <c r="O281" i="1"/>
  <c r="O265" i="1"/>
  <c r="O282" i="1"/>
  <c r="O266" i="1"/>
  <c r="O325" i="1"/>
  <c r="O309" i="1"/>
  <c r="O293" i="1"/>
  <c r="O277" i="1"/>
  <c r="O261" i="1"/>
  <c r="O274" i="1"/>
  <c r="O258" i="1"/>
  <c r="O317" i="1"/>
  <c r="O301" i="1"/>
  <c r="O285" i="1"/>
  <c r="O269" i="1"/>
  <c r="O251" i="1"/>
  <c r="O253" i="1"/>
  <c r="O252" i="1"/>
  <c r="O250" i="1"/>
  <c r="O323" i="1"/>
  <c r="O319" i="1"/>
  <c r="O315" i="1"/>
  <c r="O311" i="1"/>
  <c r="O307" i="1"/>
  <c r="O303" i="1"/>
  <c r="O299" i="1"/>
  <c r="O295" i="1"/>
  <c r="O291" i="1"/>
  <c r="O287" i="1"/>
  <c r="O283" i="1"/>
  <c r="O279" i="1"/>
  <c r="O275" i="1"/>
  <c r="O271" i="1"/>
  <c r="O267" i="1"/>
  <c r="O263" i="1"/>
  <c r="O259" i="1"/>
  <c r="O254" i="1"/>
  <c r="O326" i="1"/>
  <c r="O322" i="1"/>
  <c r="O318" i="1"/>
  <c r="O314" i="1"/>
  <c r="O310" i="1"/>
  <c r="O306" i="1"/>
  <c r="O302" i="1"/>
  <c r="O298" i="1"/>
  <c r="O294" i="1"/>
  <c r="O290" i="1"/>
  <c r="B115" i="1" l="1"/>
  <c r="B116" i="1"/>
  <c r="B78" i="1"/>
  <c r="B79" i="1"/>
  <c r="B80" i="1"/>
  <c r="B137" i="1"/>
  <c r="B138" i="1"/>
  <c r="B139" i="1"/>
  <c r="B140" i="1"/>
  <c r="B141" i="1"/>
  <c r="B108" i="1"/>
  <c r="B109" i="1"/>
  <c r="B110" i="1"/>
  <c r="B117" i="1"/>
  <c r="B118" i="1"/>
  <c r="B71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47" i="1"/>
  <c r="B148" i="1"/>
  <c r="B149" i="1"/>
  <c r="B150" i="1"/>
  <c r="B151" i="1"/>
  <c r="B165" i="1"/>
  <c r="B193" i="1"/>
  <c r="B202" i="1"/>
  <c r="B203" i="1"/>
  <c r="B205" i="1"/>
  <c r="B211" i="1"/>
  <c r="B212" i="1"/>
  <c r="B213" i="1"/>
  <c r="B214" i="1"/>
  <c r="B196" i="1"/>
  <c r="B197" i="1"/>
  <c r="B201" i="1"/>
  <c r="B180" i="1"/>
  <c r="B181" i="1"/>
  <c r="B182" i="1"/>
  <c r="B234" i="1"/>
  <c r="B235" i="1"/>
  <c r="B194" i="1"/>
  <c r="B218" i="1"/>
  <c r="B231" i="1"/>
  <c r="B232" i="1"/>
  <c r="B233" i="1"/>
  <c r="B166" i="1"/>
  <c r="B167" i="1"/>
  <c r="B25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D115" i="1"/>
  <c r="D116" i="1"/>
  <c r="D78" i="1"/>
  <c r="D79" i="1"/>
  <c r="D80" i="1"/>
  <c r="D137" i="1"/>
  <c r="D138" i="1"/>
  <c r="D139" i="1"/>
  <c r="D140" i="1"/>
  <c r="D141" i="1"/>
  <c r="D108" i="1"/>
  <c r="D109" i="1"/>
  <c r="D110" i="1"/>
  <c r="D117" i="1"/>
  <c r="D118" i="1"/>
  <c r="D71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47" i="1"/>
  <c r="D148" i="1"/>
  <c r="D149" i="1"/>
  <c r="D150" i="1"/>
  <c r="D151" i="1"/>
  <c r="D165" i="1"/>
  <c r="D193" i="1"/>
  <c r="D202" i="1"/>
  <c r="D203" i="1"/>
  <c r="D205" i="1"/>
  <c r="D211" i="1"/>
  <c r="D212" i="1"/>
  <c r="D213" i="1"/>
  <c r="D214" i="1"/>
  <c r="D196" i="1"/>
  <c r="D197" i="1"/>
  <c r="D201" i="1"/>
  <c r="D180" i="1"/>
  <c r="D181" i="1"/>
  <c r="D182" i="1"/>
  <c r="D234" i="1"/>
  <c r="D235" i="1"/>
  <c r="D194" i="1"/>
  <c r="D218" i="1"/>
  <c r="D231" i="1"/>
  <c r="D232" i="1"/>
  <c r="D233" i="1"/>
  <c r="D166" i="1"/>
  <c r="D167" i="1"/>
  <c r="D25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M115" i="1"/>
  <c r="M116" i="1"/>
  <c r="M78" i="1"/>
  <c r="M79" i="1"/>
  <c r="N79" i="1" s="1"/>
  <c r="M80" i="1"/>
  <c r="N80" i="1" s="1"/>
  <c r="M137" i="1"/>
  <c r="N137" i="1" s="1"/>
  <c r="M138" i="1"/>
  <c r="N138" i="1" s="1"/>
  <c r="M139" i="1"/>
  <c r="N139" i="1" s="1"/>
  <c r="M140" i="1"/>
  <c r="N140" i="1" s="1"/>
  <c r="M141" i="1"/>
  <c r="N141" i="1" s="1"/>
  <c r="M108" i="1"/>
  <c r="N108" i="1" s="1"/>
  <c r="M109" i="1"/>
  <c r="N109" i="1" s="1"/>
  <c r="M110" i="1"/>
  <c r="N110" i="1" s="1"/>
  <c r="M117" i="1"/>
  <c r="N117" i="1" s="1"/>
  <c r="M118" i="1"/>
  <c r="N118" i="1" s="1"/>
  <c r="M71" i="1"/>
  <c r="N71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47" i="1"/>
  <c r="N147" i="1" s="1"/>
  <c r="M148" i="1"/>
  <c r="N148" i="1" s="1"/>
  <c r="M149" i="1"/>
  <c r="N149" i="1" s="1"/>
  <c r="M150" i="1"/>
  <c r="M151" i="1"/>
  <c r="N151" i="1" s="1"/>
  <c r="M165" i="1"/>
  <c r="N165" i="1" s="1"/>
  <c r="M193" i="1"/>
  <c r="N193" i="1" s="1"/>
  <c r="M202" i="1"/>
  <c r="N202" i="1" s="1"/>
  <c r="M203" i="1"/>
  <c r="N203" i="1" s="1"/>
  <c r="M205" i="1"/>
  <c r="N205" i="1" s="1"/>
  <c r="M211" i="1"/>
  <c r="N211" i="1" s="1"/>
  <c r="M212" i="1"/>
  <c r="N212" i="1" s="1"/>
  <c r="M213" i="1"/>
  <c r="N213" i="1" s="1"/>
  <c r="M214" i="1"/>
  <c r="N214" i="1" s="1"/>
  <c r="M196" i="1"/>
  <c r="N196" i="1" s="1"/>
  <c r="M197" i="1"/>
  <c r="N197" i="1" s="1"/>
  <c r="M201" i="1"/>
  <c r="N201" i="1" s="1"/>
  <c r="M180" i="1"/>
  <c r="N180" i="1" s="1"/>
  <c r="M181" i="1"/>
  <c r="N181" i="1" s="1"/>
  <c r="M182" i="1"/>
  <c r="N182" i="1" s="1"/>
  <c r="M234" i="1"/>
  <c r="N234" i="1" s="1"/>
  <c r="M235" i="1"/>
  <c r="N235" i="1" s="1"/>
  <c r="M194" i="1"/>
  <c r="N194" i="1" s="1"/>
  <c r="M218" i="1"/>
  <c r="N218" i="1" s="1"/>
  <c r="M231" i="1"/>
  <c r="N231" i="1" s="1"/>
  <c r="M232" i="1"/>
  <c r="N232" i="1" s="1"/>
  <c r="M233" i="1"/>
  <c r="N233" i="1" s="1"/>
  <c r="M166" i="1"/>
  <c r="N166" i="1" s="1"/>
  <c r="M167" i="1"/>
  <c r="N167" i="1" s="1"/>
  <c r="M255" i="1"/>
  <c r="N255" i="1" s="1"/>
  <c r="M236" i="1"/>
  <c r="N236" i="1" s="1"/>
  <c r="M237" i="1"/>
  <c r="N237" i="1" s="1"/>
  <c r="M238" i="1"/>
  <c r="N238" i="1" s="1"/>
  <c r="M239" i="1"/>
  <c r="N239" i="1" s="1"/>
  <c r="M240" i="1"/>
  <c r="N240" i="1" s="1"/>
  <c r="M241" i="1"/>
  <c r="N241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N115" i="1"/>
  <c r="N116" i="1"/>
  <c r="N78" i="1"/>
  <c r="N150" i="1"/>
  <c r="P115" i="1"/>
  <c r="I115" i="1" s="1"/>
  <c r="P116" i="1"/>
  <c r="I116" i="1" s="1"/>
  <c r="P78" i="1"/>
  <c r="I78" i="1" s="1"/>
  <c r="P79" i="1"/>
  <c r="I79" i="1" s="1"/>
  <c r="P80" i="1"/>
  <c r="I80" i="1" s="1"/>
  <c r="P137" i="1"/>
  <c r="I137" i="1" s="1"/>
  <c r="P138" i="1"/>
  <c r="I138" i="1" s="1"/>
  <c r="P139" i="1"/>
  <c r="I139" i="1" s="1"/>
  <c r="P140" i="1"/>
  <c r="I140" i="1" s="1"/>
  <c r="P141" i="1"/>
  <c r="I141" i="1" s="1"/>
  <c r="P108" i="1"/>
  <c r="I108" i="1" s="1"/>
  <c r="P109" i="1"/>
  <c r="I109" i="1" s="1"/>
  <c r="P110" i="1"/>
  <c r="I110" i="1" s="1"/>
  <c r="P117" i="1"/>
  <c r="I117" i="1" s="1"/>
  <c r="P118" i="1"/>
  <c r="I118" i="1" s="1"/>
  <c r="P71" i="1"/>
  <c r="I71" i="1" s="1"/>
  <c r="P119" i="1"/>
  <c r="I119" i="1" s="1"/>
  <c r="P120" i="1"/>
  <c r="I120" i="1" s="1"/>
  <c r="P121" i="1"/>
  <c r="I121" i="1" s="1"/>
  <c r="P122" i="1"/>
  <c r="I122" i="1" s="1"/>
  <c r="P123" i="1"/>
  <c r="I123" i="1" s="1"/>
  <c r="P124" i="1"/>
  <c r="I124" i="1" s="1"/>
  <c r="P125" i="1"/>
  <c r="I125" i="1" s="1"/>
  <c r="P126" i="1"/>
  <c r="I126" i="1" s="1"/>
  <c r="P127" i="1"/>
  <c r="I127" i="1" s="1"/>
  <c r="P128" i="1"/>
  <c r="I128" i="1" s="1"/>
  <c r="P129" i="1"/>
  <c r="I129" i="1" s="1"/>
  <c r="P130" i="1"/>
  <c r="I130" i="1" s="1"/>
  <c r="P147" i="1"/>
  <c r="I147" i="1" s="1"/>
  <c r="P148" i="1"/>
  <c r="I148" i="1" s="1"/>
  <c r="P149" i="1"/>
  <c r="I149" i="1" s="1"/>
  <c r="P150" i="1"/>
  <c r="I150" i="1" s="1"/>
  <c r="P151" i="1"/>
  <c r="I151" i="1" s="1"/>
  <c r="P165" i="1"/>
  <c r="I165" i="1" s="1"/>
  <c r="P193" i="1"/>
  <c r="I193" i="1" s="1"/>
  <c r="P202" i="1"/>
  <c r="I202" i="1" s="1"/>
  <c r="P203" i="1"/>
  <c r="I203" i="1" s="1"/>
  <c r="P205" i="1"/>
  <c r="I205" i="1" s="1"/>
  <c r="P211" i="1"/>
  <c r="I211" i="1" s="1"/>
  <c r="P212" i="1"/>
  <c r="I212" i="1" s="1"/>
  <c r="P213" i="1"/>
  <c r="I213" i="1" s="1"/>
  <c r="P214" i="1"/>
  <c r="I214" i="1" s="1"/>
  <c r="P196" i="1"/>
  <c r="I196" i="1" s="1"/>
  <c r="P197" i="1"/>
  <c r="I197" i="1" s="1"/>
  <c r="P201" i="1"/>
  <c r="I201" i="1" s="1"/>
  <c r="P180" i="1"/>
  <c r="I180" i="1" s="1"/>
  <c r="P181" i="1"/>
  <c r="I181" i="1" s="1"/>
  <c r="P182" i="1"/>
  <c r="I182" i="1" s="1"/>
  <c r="P234" i="1"/>
  <c r="I234" i="1" s="1"/>
  <c r="P235" i="1"/>
  <c r="I235" i="1" s="1"/>
  <c r="P194" i="1"/>
  <c r="I194" i="1" s="1"/>
  <c r="P218" i="1"/>
  <c r="I218" i="1" s="1"/>
  <c r="P231" i="1"/>
  <c r="I231" i="1" s="1"/>
  <c r="P232" i="1"/>
  <c r="I232" i="1" s="1"/>
  <c r="P233" i="1"/>
  <c r="I233" i="1" s="1"/>
  <c r="P166" i="1"/>
  <c r="I166" i="1" s="1"/>
  <c r="P167" i="1"/>
  <c r="I167" i="1" s="1"/>
  <c r="P255" i="1"/>
  <c r="I255" i="1" s="1"/>
  <c r="P236" i="1"/>
  <c r="I236" i="1" s="1"/>
  <c r="P237" i="1"/>
  <c r="I237" i="1" s="1"/>
  <c r="P238" i="1"/>
  <c r="I238" i="1" s="1"/>
  <c r="P239" i="1"/>
  <c r="I239" i="1" s="1"/>
  <c r="P240" i="1"/>
  <c r="I240" i="1" s="1"/>
  <c r="P241" i="1"/>
  <c r="I241" i="1" s="1"/>
  <c r="P242" i="1"/>
  <c r="I242" i="1" s="1"/>
  <c r="P243" i="1"/>
  <c r="I243" i="1" s="1"/>
  <c r="P244" i="1"/>
  <c r="I244" i="1" s="1"/>
  <c r="P245" i="1"/>
  <c r="I245" i="1" s="1"/>
  <c r="P246" i="1"/>
  <c r="I246" i="1" s="1"/>
  <c r="P247" i="1"/>
  <c r="I247" i="1" s="1"/>
  <c r="P248" i="1"/>
  <c r="I248" i="1" s="1"/>
  <c r="P249" i="1"/>
  <c r="I249" i="1" s="1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I52" i="4" a="1"/>
  <c r="I52" i="4" s="1"/>
  <c r="I64" i="4" a="1"/>
  <c r="I64" i="4" s="1"/>
  <c r="I65" i="4" a="1"/>
  <c r="I65" i="4" s="1"/>
  <c r="I66" i="4" a="1"/>
  <c r="I66" i="4" s="1"/>
  <c r="I67" i="4" a="1"/>
  <c r="I67" i="4" s="1"/>
  <c r="I68" i="4" a="1"/>
  <c r="I68" i="4" s="1"/>
  <c r="I69" i="4" a="1"/>
  <c r="I69" i="4" s="1"/>
  <c r="I70" i="4" a="1"/>
  <c r="I70" i="4" s="1"/>
  <c r="I71" i="4" a="1"/>
  <c r="I71" i="4" s="1"/>
  <c r="I72" i="4" a="1"/>
  <c r="I72" i="4" s="1"/>
  <c r="I73" i="4" a="1"/>
  <c r="I73" i="4" s="1"/>
  <c r="I74" i="4" a="1"/>
  <c r="I74" i="4" s="1"/>
  <c r="I75" i="4" a="1"/>
  <c r="I75" i="4" s="1"/>
  <c r="I76" i="4" a="1"/>
  <c r="I76" i="4" s="1"/>
  <c r="I77" i="4" a="1"/>
  <c r="I77" i="4" s="1"/>
  <c r="I78" i="4" a="1"/>
  <c r="I78" i="4" s="1"/>
  <c r="I79" i="4" a="1"/>
  <c r="I79" i="4" s="1"/>
  <c r="I80" i="4" a="1"/>
  <c r="I80" i="4" s="1"/>
  <c r="I81" i="4" a="1"/>
  <c r="I81" i="4" s="1"/>
  <c r="I82" i="4" a="1"/>
  <c r="I82" i="4" s="1"/>
  <c r="I83" i="4" a="1"/>
  <c r="I83" i="4" s="1"/>
  <c r="I84" i="4" a="1"/>
  <c r="I84" i="4" s="1"/>
  <c r="I85" i="4" a="1"/>
  <c r="I85" i="4" s="1"/>
  <c r="I86" i="4" a="1"/>
  <c r="I86" i="4" s="1"/>
  <c r="I87" i="4" a="1"/>
  <c r="I87" i="4" s="1"/>
  <c r="I88" i="4" a="1"/>
  <c r="I88" i="4" s="1"/>
  <c r="I89" i="4" a="1"/>
  <c r="I89" i="4" s="1"/>
  <c r="I90" i="4" a="1"/>
  <c r="I90" i="4" s="1"/>
  <c r="I91" i="4" a="1"/>
  <c r="I91" i="4" s="1"/>
  <c r="I92" i="4" a="1"/>
  <c r="I92" i="4" s="1"/>
  <c r="I93" i="4" a="1"/>
  <c r="I93" i="4" s="1"/>
  <c r="I94" i="4" a="1"/>
  <c r="I94" i="4" s="1"/>
  <c r="I95" i="4" a="1"/>
  <c r="I95" i="4" s="1"/>
  <c r="I96" i="4" a="1"/>
  <c r="I96" i="4" s="1"/>
  <c r="I97" i="4" a="1"/>
  <c r="I97" i="4" s="1"/>
  <c r="I98" i="4" a="1"/>
  <c r="I98" i="4" s="1"/>
  <c r="I99" i="4" a="1"/>
  <c r="I99" i="4" s="1"/>
  <c r="I100" i="4" a="1"/>
  <c r="I100" i="4" s="1"/>
  <c r="I101" i="4" a="1"/>
  <c r="I101" i="4" s="1"/>
  <c r="I102" i="4" a="1"/>
  <c r="I102" i="4" s="1"/>
  <c r="I103" i="4" a="1"/>
  <c r="I103" i="4" s="1"/>
  <c r="I104" i="4" a="1"/>
  <c r="I104" i="4" s="1"/>
  <c r="I105" i="4" a="1"/>
  <c r="I105" i="4" s="1"/>
  <c r="I106" i="4" a="1"/>
  <c r="I106" i="4" s="1"/>
  <c r="I107" i="4" a="1"/>
  <c r="I107" i="4" s="1"/>
  <c r="I108" i="4" a="1"/>
  <c r="I108" i="4" s="1"/>
  <c r="I109" i="4" a="1"/>
  <c r="I109" i="4" s="1"/>
  <c r="I110" i="4" a="1"/>
  <c r="I110" i="4" s="1"/>
  <c r="I111" i="4" a="1"/>
  <c r="I111" i="4" s="1"/>
  <c r="I112" i="4" a="1"/>
  <c r="I112" i="4" s="1"/>
  <c r="I113" i="4" a="1"/>
  <c r="I113" i="4" s="1"/>
  <c r="I114" i="4" a="1"/>
  <c r="I114" i="4" s="1"/>
  <c r="I115" i="4" a="1"/>
  <c r="I115" i="4" s="1"/>
  <c r="I116" i="4" a="1"/>
  <c r="I116" i="4" s="1"/>
  <c r="I117" i="4" a="1"/>
  <c r="I117" i="4" s="1"/>
  <c r="I118" i="4" a="1"/>
  <c r="I118" i="4" s="1"/>
  <c r="I119" i="4" a="1"/>
  <c r="I119" i="4" s="1"/>
  <c r="I120" i="4" a="1"/>
  <c r="I120" i="4" s="1"/>
  <c r="I121" i="4" a="1"/>
  <c r="I121" i="4" s="1"/>
  <c r="I122" i="4" a="1"/>
  <c r="I122" i="4" s="1"/>
  <c r="I123" i="4" a="1"/>
  <c r="I123" i="4" s="1"/>
  <c r="I124" i="4" a="1"/>
  <c r="I124" i="4" s="1"/>
  <c r="I125" i="4" a="1"/>
  <c r="I125" i="4" s="1"/>
  <c r="I126" i="4" a="1"/>
  <c r="I126" i="4" s="1"/>
  <c r="I127" i="4" a="1"/>
  <c r="I127" i="4" s="1"/>
  <c r="I128" i="4" a="1"/>
  <c r="I128" i="4" s="1"/>
  <c r="I129" i="4" a="1"/>
  <c r="I129" i="4" s="1"/>
  <c r="I130" i="4" a="1"/>
  <c r="I130" i="4" s="1"/>
  <c r="I131" i="4" a="1"/>
  <c r="I131" i="4" s="1"/>
  <c r="I132" i="4" a="1"/>
  <c r="I132" i="4" s="1"/>
  <c r="I133" i="4" a="1"/>
  <c r="I133" i="4" s="1"/>
  <c r="I134" i="4" a="1"/>
  <c r="I134" i="4" s="1"/>
  <c r="I135" i="4" a="1"/>
  <c r="I135" i="4" s="1"/>
  <c r="I136" i="4" a="1"/>
  <c r="I136" i="4" s="1"/>
  <c r="I137" i="4" a="1"/>
  <c r="I137" i="4" s="1"/>
  <c r="I138" i="4" a="1"/>
  <c r="I138" i="4" s="1"/>
  <c r="I139" i="4" a="1"/>
  <c r="I139" i="4" s="1"/>
  <c r="I140" i="4" a="1"/>
  <c r="I140" i="4" s="1"/>
  <c r="I141" i="4" a="1"/>
  <c r="I141" i="4" s="1"/>
  <c r="I142" i="4" a="1"/>
  <c r="I142" i="4" s="1"/>
  <c r="I143" i="4" a="1"/>
  <c r="I143" i="4" s="1"/>
  <c r="I144" i="4" a="1"/>
  <c r="I144" i="4" s="1"/>
  <c r="I145" i="4" a="1"/>
  <c r="I145" i="4" s="1"/>
  <c r="I146" i="4" a="1"/>
  <c r="I146" i="4" s="1"/>
  <c r="I147" i="4" a="1"/>
  <c r="I147" i="4" s="1"/>
  <c r="I148" i="4" a="1"/>
  <c r="I148" i="4" s="1"/>
  <c r="I149" i="4" a="1"/>
  <c r="I149" i="4" s="1"/>
  <c r="I150" i="4" a="1"/>
  <c r="I150" i="4" s="1"/>
  <c r="I151" i="4" a="1"/>
  <c r="I151" i="4" s="1"/>
  <c r="I152" i="4" a="1"/>
  <c r="I152" i="4" s="1"/>
  <c r="I153" i="4" a="1"/>
  <c r="I153" i="4" s="1"/>
  <c r="I154" i="4" a="1"/>
  <c r="I154" i="4" s="1"/>
  <c r="I155" i="4" a="1"/>
  <c r="I155" i="4" s="1"/>
  <c r="I156" i="4" a="1"/>
  <c r="I156" i="4" s="1"/>
  <c r="I157" i="4" a="1"/>
  <c r="I157" i="4" s="1"/>
  <c r="I158" i="4" a="1"/>
  <c r="I158" i="4" s="1"/>
  <c r="I159" i="4" a="1"/>
  <c r="I159" i="4" s="1"/>
  <c r="I160" i="4" a="1"/>
  <c r="I160" i="4" s="1"/>
  <c r="I161" i="4" a="1"/>
  <c r="I161" i="4" s="1"/>
  <c r="H2" i="4" a="1"/>
  <c r="H2" i="4" s="1"/>
  <c r="K2" i="4" s="1"/>
  <c r="L2" i="4" s="1"/>
  <c r="H3" i="4" a="1"/>
  <c r="H3" i="4" s="1"/>
  <c r="H4" i="4" a="1"/>
  <c r="H4" i="4" s="1"/>
  <c r="H5" i="4" a="1"/>
  <c r="H5" i="4" s="1"/>
  <c r="H6" i="4" a="1"/>
  <c r="H6" i="4" s="1"/>
  <c r="K6" i="4" s="1"/>
  <c r="L6" i="4" s="1"/>
  <c r="H9" i="4" a="1"/>
  <c r="H9" i="4" s="1"/>
  <c r="H11" i="4" a="1"/>
  <c r="H11" i="4" s="1"/>
  <c r="H14" i="4" a="1"/>
  <c r="H14" i="4" s="1"/>
  <c r="K14" i="4" s="1"/>
  <c r="L14" i="4" s="1"/>
  <c r="H15" i="4" a="1"/>
  <c r="H15" i="4" s="1"/>
  <c r="H16" i="4" a="1"/>
  <c r="H16" i="4" s="1"/>
  <c r="K16" i="4" s="1"/>
  <c r="L16" i="4" s="1"/>
  <c r="H17" i="4" a="1"/>
  <c r="H17" i="4" s="1"/>
  <c r="H18" i="4" a="1"/>
  <c r="H18" i="4" s="1"/>
  <c r="K18" i="4" s="1"/>
  <c r="L18" i="4" s="1"/>
  <c r="H19" i="4" a="1"/>
  <c r="H19" i="4" s="1"/>
  <c r="H20" i="4" a="1"/>
  <c r="H20" i="4" s="1"/>
  <c r="H21" i="4" a="1"/>
  <c r="H21" i="4" s="1"/>
  <c r="H22" i="4" a="1"/>
  <c r="H22" i="4" s="1"/>
  <c r="K22" i="4" s="1"/>
  <c r="L22" i="4" s="1"/>
  <c r="H23" i="4" a="1"/>
  <c r="H23" i="4" s="1"/>
  <c r="H24" i="4" a="1"/>
  <c r="H24" i="4" s="1"/>
  <c r="H25" i="4" a="1"/>
  <c r="H25" i="4" s="1"/>
  <c r="H26" i="4" a="1"/>
  <c r="H26" i="4" s="1"/>
  <c r="K26" i="4" s="1"/>
  <c r="L26" i="4" s="1"/>
  <c r="H27" i="4" a="1"/>
  <c r="H27" i="4" s="1"/>
  <c r="H28" i="4" a="1"/>
  <c r="H28" i="4" s="1"/>
  <c r="I28" i="4" s="1" a="1"/>
  <c r="I28" i="4" s="1"/>
  <c r="H29" i="4" a="1"/>
  <c r="H29" i="4" s="1"/>
  <c r="I29" i="4" s="1" a="1"/>
  <c r="I29" i="4" s="1"/>
  <c r="H30" i="4" a="1"/>
  <c r="H30" i="4" s="1"/>
  <c r="K30" i="4" s="1"/>
  <c r="L30" i="4" s="1"/>
  <c r="H31" i="4" a="1"/>
  <c r="H31" i="4" s="1"/>
  <c r="H32" i="4" a="1"/>
  <c r="H32" i="4" s="1"/>
  <c r="I32" i="4" s="1" a="1"/>
  <c r="I32" i="4" s="1"/>
  <c r="H33" i="4" a="1"/>
  <c r="H33" i="4" s="1"/>
  <c r="I33" i="4" s="1" a="1"/>
  <c r="I33" i="4" s="1"/>
  <c r="H34" i="4" a="1"/>
  <c r="H34" i="4" s="1"/>
  <c r="K34" i="4" s="1"/>
  <c r="L34" i="4" s="1"/>
  <c r="H35" i="4" a="1"/>
  <c r="H35" i="4" s="1"/>
  <c r="H36" i="4" a="1"/>
  <c r="H36" i="4" s="1"/>
  <c r="I36" i="4" s="1" a="1"/>
  <c r="I36" i="4" s="1"/>
  <c r="H37" i="4" a="1"/>
  <c r="H37" i="4" s="1"/>
  <c r="I37" i="4" s="1" a="1"/>
  <c r="I37" i="4" s="1"/>
  <c r="H38" i="4" a="1"/>
  <c r="H38" i="4" s="1"/>
  <c r="K38" i="4" s="1"/>
  <c r="L38" i="4" s="1"/>
  <c r="H39" i="4" a="1"/>
  <c r="H39" i="4" s="1"/>
  <c r="K39" i="4" s="1"/>
  <c r="L39" i="4" s="1"/>
  <c r="H40" i="4" a="1"/>
  <c r="H40" i="4" s="1"/>
  <c r="K40" i="4" s="1"/>
  <c r="L40" i="4" s="1"/>
  <c r="H41" i="4" a="1"/>
  <c r="H41" i="4" s="1"/>
  <c r="I41" i="4" s="1" a="1"/>
  <c r="I41" i="4" s="1"/>
  <c r="H42" i="4" a="1"/>
  <c r="H42" i="4" s="1"/>
  <c r="I42" i="4" s="1" a="1"/>
  <c r="I42" i="4" s="1"/>
  <c r="H43" i="4" a="1"/>
  <c r="H43" i="4" s="1"/>
  <c r="K43" i="4" s="1"/>
  <c r="L43" i="4" s="1"/>
  <c r="H44" i="4" a="1"/>
  <c r="H44" i="4" s="1"/>
  <c r="K44" i="4" s="1"/>
  <c r="L44" i="4" s="1"/>
  <c r="H45" i="4" a="1"/>
  <c r="H45" i="4" s="1"/>
  <c r="I45" i="4" s="1" a="1"/>
  <c r="I45" i="4" s="1"/>
  <c r="H46" i="4" a="1"/>
  <c r="H46" i="4" s="1"/>
  <c r="I46" i="4" s="1" a="1"/>
  <c r="I46" i="4" s="1"/>
  <c r="H47" i="4" a="1"/>
  <c r="H47" i="4" s="1"/>
  <c r="K47" i="4" s="1"/>
  <c r="L47" i="4" s="1"/>
  <c r="H48" i="4" a="1"/>
  <c r="H48" i="4" s="1"/>
  <c r="K48" i="4" s="1"/>
  <c r="L48" i="4" s="1"/>
  <c r="H49" i="4" a="1"/>
  <c r="H49" i="4" s="1"/>
  <c r="I49" i="4" s="1" a="1"/>
  <c r="I49" i="4" s="1"/>
  <c r="H50" i="4" a="1"/>
  <c r="H50" i="4" s="1"/>
  <c r="I50" i="4" s="1" a="1"/>
  <c r="I50" i="4" s="1"/>
  <c r="H51" i="4" a="1"/>
  <c r="H51" i="4" s="1"/>
  <c r="I51" i="4" s="1" a="1"/>
  <c r="I51" i="4" s="1"/>
  <c r="H52" i="4" a="1"/>
  <c r="H52" i="4" s="1"/>
  <c r="K52" i="4" s="1"/>
  <c r="L52" i="4" s="1"/>
  <c r="H53" i="4" a="1"/>
  <c r="H53" i="4" s="1"/>
  <c r="I53" i="4" s="1" a="1"/>
  <c r="I53" i="4" s="1"/>
  <c r="H54" i="4" a="1"/>
  <c r="H54" i="4" s="1"/>
  <c r="I54" i="4" s="1" a="1"/>
  <c r="I54" i="4" s="1"/>
  <c r="H55" i="4" a="1"/>
  <c r="H55" i="4" s="1"/>
  <c r="K55" i="4" s="1"/>
  <c r="L55" i="4" s="1"/>
  <c r="H56" i="4" a="1"/>
  <c r="H56" i="4" s="1"/>
  <c r="K56" i="4" s="1"/>
  <c r="L56" i="4" s="1"/>
  <c r="H57" i="4" a="1"/>
  <c r="H57" i="4" s="1"/>
  <c r="I57" i="4" s="1" a="1"/>
  <c r="I57" i="4" s="1"/>
  <c r="H58" i="4" a="1"/>
  <c r="H58" i="4" s="1"/>
  <c r="I58" i="4" s="1" a="1"/>
  <c r="I58" i="4" s="1"/>
  <c r="H59" i="4" a="1"/>
  <c r="H59" i="4" s="1"/>
  <c r="K59" i="4" s="1"/>
  <c r="L59" i="4" s="1"/>
  <c r="H60" i="4" a="1"/>
  <c r="H60" i="4" s="1"/>
  <c r="K60" i="4" s="1"/>
  <c r="L60" i="4" s="1"/>
  <c r="H61" i="4" a="1"/>
  <c r="H61" i="4" s="1"/>
  <c r="I61" i="4" s="1" a="1"/>
  <c r="I61" i="4" s="1"/>
  <c r="H62" i="4" a="1"/>
  <c r="H62" i="4" s="1"/>
  <c r="I62" i="4" s="1" a="1"/>
  <c r="I62" i="4" s="1"/>
  <c r="H63" i="4" a="1"/>
  <c r="H63" i="4" s="1"/>
  <c r="K63" i="4" s="1"/>
  <c r="L63" i="4" s="1"/>
  <c r="H64" i="4" a="1"/>
  <c r="H64" i="4" s="1"/>
  <c r="H65" i="4" a="1"/>
  <c r="H65" i="4" s="1"/>
  <c r="H66" i="4" a="1"/>
  <c r="H66" i="4" s="1"/>
  <c r="H67" i="4" a="1"/>
  <c r="H67" i="4" s="1"/>
  <c r="H68" i="4" a="1"/>
  <c r="H68" i="4" s="1"/>
  <c r="H69" i="4" a="1"/>
  <c r="H69" i="4" s="1"/>
  <c r="H70" i="4" a="1"/>
  <c r="H70" i="4" s="1"/>
  <c r="H71" i="4" a="1"/>
  <c r="H71" i="4" s="1"/>
  <c r="H72" i="4" a="1"/>
  <c r="H72" i="4" s="1"/>
  <c r="H73" i="4" a="1"/>
  <c r="H73" i="4" s="1"/>
  <c r="H74" i="4" a="1"/>
  <c r="H74" i="4" s="1"/>
  <c r="H75" i="4" a="1"/>
  <c r="H75" i="4" s="1"/>
  <c r="H76" i="4" a="1"/>
  <c r="H76" i="4" s="1"/>
  <c r="H77" i="4" a="1"/>
  <c r="H77" i="4" s="1"/>
  <c r="H78" i="4" a="1"/>
  <c r="H78" i="4" s="1"/>
  <c r="H79" i="4" a="1"/>
  <c r="H79" i="4" s="1"/>
  <c r="H80" i="4" a="1"/>
  <c r="H80" i="4" s="1"/>
  <c r="H81" i="4" a="1"/>
  <c r="H81" i="4" s="1"/>
  <c r="H82" i="4" a="1"/>
  <c r="H82" i="4" s="1"/>
  <c r="H83" i="4" a="1"/>
  <c r="H83" i="4" s="1"/>
  <c r="H84" i="4" a="1"/>
  <c r="H84" i="4" s="1"/>
  <c r="H85" i="4" a="1"/>
  <c r="H85" i="4" s="1"/>
  <c r="H86" i="4" a="1"/>
  <c r="H86" i="4" s="1"/>
  <c r="H87" i="4" a="1"/>
  <c r="H87" i="4" s="1"/>
  <c r="H88" i="4" a="1"/>
  <c r="H88" i="4" s="1"/>
  <c r="H89" i="4" a="1"/>
  <c r="H89" i="4" s="1"/>
  <c r="H90" i="4" a="1"/>
  <c r="H90" i="4" s="1"/>
  <c r="H91" i="4" a="1"/>
  <c r="H91" i="4" s="1"/>
  <c r="H92" i="4" a="1"/>
  <c r="H92" i="4" s="1"/>
  <c r="H93" i="4" a="1"/>
  <c r="H93" i="4" s="1"/>
  <c r="H94" i="4" a="1"/>
  <c r="H94" i="4" s="1"/>
  <c r="H95" i="4" a="1"/>
  <c r="H95" i="4" s="1"/>
  <c r="H96" i="4" a="1"/>
  <c r="H96" i="4" s="1"/>
  <c r="H97" i="4" a="1"/>
  <c r="H97" i="4" s="1"/>
  <c r="H98" i="4" a="1"/>
  <c r="H98" i="4" s="1"/>
  <c r="H99" i="4" a="1"/>
  <c r="H99" i="4" s="1"/>
  <c r="H100" i="4" a="1"/>
  <c r="H100" i="4" s="1"/>
  <c r="H101" i="4" a="1"/>
  <c r="H101" i="4" s="1"/>
  <c r="H102" i="4" a="1"/>
  <c r="H102" i="4" s="1"/>
  <c r="H103" i="4" a="1"/>
  <c r="H103" i="4" s="1"/>
  <c r="H104" i="4" a="1"/>
  <c r="H104" i="4" s="1"/>
  <c r="H105" i="4" a="1"/>
  <c r="H105" i="4" s="1"/>
  <c r="H106" i="4" a="1"/>
  <c r="H106" i="4" s="1"/>
  <c r="H107" i="4" a="1"/>
  <c r="H107" i="4" s="1"/>
  <c r="H108" i="4" a="1"/>
  <c r="H108" i="4" s="1"/>
  <c r="H109" i="4" a="1"/>
  <c r="H109" i="4" s="1"/>
  <c r="H110" i="4" a="1"/>
  <c r="H110" i="4" s="1"/>
  <c r="H111" i="4" a="1"/>
  <c r="H111" i="4" s="1"/>
  <c r="H112" i="4" a="1"/>
  <c r="H112" i="4" s="1"/>
  <c r="H113" i="4" a="1"/>
  <c r="H113" i="4" s="1"/>
  <c r="H114" i="4" a="1"/>
  <c r="H114" i="4" s="1"/>
  <c r="H115" i="4" a="1"/>
  <c r="H115" i="4" s="1"/>
  <c r="H116" i="4" a="1"/>
  <c r="H116" i="4" s="1"/>
  <c r="H117" i="4" a="1"/>
  <c r="H117" i="4" s="1"/>
  <c r="H118" i="4" a="1"/>
  <c r="H118" i="4" s="1"/>
  <c r="H119" i="4" a="1"/>
  <c r="H119" i="4" s="1"/>
  <c r="H120" i="4" a="1"/>
  <c r="H120" i="4" s="1"/>
  <c r="H121" i="4" a="1"/>
  <c r="H121" i="4" s="1"/>
  <c r="H122" i="4" a="1"/>
  <c r="H122" i="4" s="1"/>
  <c r="H123" i="4" a="1"/>
  <c r="H123" i="4" s="1"/>
  <c r="H124" i="4" a="1"/>
  <c r="H124" i="4" s="1"/>
  <c r="H125" i="4" a="1"/>
  <c r="H125" i="4" s="1"/>
  <c r="H126" i="4" a="1"/>
  <c r="H126" i="4" s="1"/>
  <c r="H127" i="4" a="1"/>
  <c r="H127" i="4" s="1"/>
  <c r="H128" i="4" a="1"/>
  <c r="H128" i="4" s="1"/>
  <c r="H129" i="4" a="1"/>
  <c r="H129" i="4" s="1"/>
  <c r="H130" i="4" a="1"/>
  <c r="H130" i="4" s="1"/>
  <c r="H131" i="4" a="1"/>
  <c r="H131" i="4" s="1"/>
  <c r="H132" i="4" a="1"/>
  <c r="H132" i="4" s="1"/>
  <c r="H133" i="4" a="1"/>
  <c r="H133" i="4" s="1"/>
  <c r="H134" i="4" a="1"/>
  <c r="H134" i="4" s="1"/>
  <c r="H135" i="4" a="1"/>
  <c r="H135" i="4" s="1"/>
  <c r="H136" i="4" a="1"/>
  <c r="H136" i="4" s="1"/>
  <c r="H137" i="4" a="1"/>
  <c r="H137" i="4" s="1"/>
  <c r="H138" i="4" a="1"/>
  <c r="H138" i="4" s="1"/>
  <c r="H139" i="4" a="1"/>
  <c r="H139" i="4" s="1"/>
  <c r="H140" i="4" a="1"/>
  <c r="H140" i="4" s="1"/>
  <c r="H141" i="4" a="1"/>
  <c r="H141" i="4" s="1"/>
  <c r="H142" i="4" a="1"/>
  <c r="H142" i="4" s="1"/>
  <c r="H143" i="4" a="1"/>
  <c r="H143" i="4" s="1"/>
  <c r="H144" i="4" a="1"/>
  <c r="H144" i="4" s="1"/>
  <c r="H145" i="4" a="1"/>
  <c r="H145" i="4" s="1"/>
  <c r="H146" i="4" a="1"/>
  <c r="H146" i="4" s="1"/>
  <c r="H147" i="4" a="1"/>
  <c r="H147" i="4" s="1"/>
  <c r="H148" i="4" a="1"/>
  <c r="H148" i="4" s="1"/>
  <c r="H149" i="4" a="1"/>
  <c r="H149" i="4" s="1"/>
  <c r="H150" i="4" a="1"/>
  <c r="H150" i="4" s="1"/>
  <c r="H151" i="4" a="1"/>
  <c r="H151" i="4" s="1"/>
  <c r="H152" i="4" a="1"/>
  <c r="H152" i="4" s="1"/>
  <c r="H153" i="4" a="1"/>
  <c r="H153" i="4" s="1"/>
  <c r="H154" i="4" a="1"/>
  <c r="H154" i="4" s="1"/>
  <c r="H155" i="4" a="1"/>
  <c r="H155" i="4" s="1"/>
  <c r="H156" i="4" a="1"/>
  <c r="H156" i="4" s="1"/>
  <c r="H157" i="4" a="1"/>
  <c r="H157" i="4" s="1"/>
  <c r="H158" i="4" a="1"/>
  <c r="H158" i="4" s="1"/>
  <c r="H159" i="4" a="1"/>
  <c r="H159" i="4" s="1"/>
  <c r="H160" i="4" a="1"/>
  <c r="H160" i="4" s="1"/>
  <c r="H161" i="4" a="1"/>
  <c r="H161" i="4" s="1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F2" i="4"/>
  <c r="J2" i="4" s="1"/>
  <c r="F3" i="4"/>
  <c r="J3" i="4" s="1"/>
  <c r="F4" i="4"/>
  <c r="J4" i="4" s="1"/>
  <c r="F5" i="4"/>
  <c r="J5" i="4" s="1"/>
  <c r="F6" i="4"/>
  <c r="J6" i="4" s="1"/>
  <c r="F7" i="4"/>
  <c r="J7" i="4" s="1"/>
  <c r="F8" i="4"/>
  <c r="J8" i="4" s="1"/>
  <c r="F9" i="4"/>
  <c r="J9" i="4" s="1"/>
  <c r="F10" i="4"/>
  <c r="J10" i="4" s="1"/>
  <c r="F11" i="4"/>
  <c r="J11" i="4" s="1"/>
  <c r="F12" i="4"/>
  <c r="J12" i="4" s="1"/>
  <c r="F13" i="4"/>
  <c r="J13" i="4" s="1"/>
  <c r="F14" i="4"/>
  <c r="J14" i="4" s="1"/>
  <c r="F15" i="4"/>
  <c r="J15" i="4" s="1"/>
  <c r="F16" i="4"/>
  <c r="J16" i="4" s="1"/>
  <c r="F17" i="4"/>
  <c r="J17" i="4" s="1"/>
  <c r="F18" i="4"/>
  <c r="J18" i="4" s="1"/>
  <c r="F19" i="4"/>
  <c r="J19" i="4" s="1"/>
  <c r="F20" i="4"/>
  <c r="J20" i="4" s="1"/>
  <c r="F21" i="4"/>
  <c r="J21" i="4" s="1"/>
  <c r="F22" i="4"/>
  <c r="J22" i="4" s="1"/>
  <c r="F23" i="4"/>
  <c r="J23" i="4" s="1"/>
  <c r="F24" i="4"/>
  <c r="J24" i="4" s="1"/>
  <c r="F25" i="4"/>
  <c r="J25" i="4" s="1"/>
  <c r="F26" i="4"/>
  <c r="J26" i="4" s="1"/>
  <c r="F27" i="4"/>
  <c r="J27" i="4" s="1"/>
  <c r="F28" i="4"/>
  <c r="J28" i="4" s="1"/>
  <c r="F29" i="4"/>
  <c r="J29" i="4" s="1"/>
  <c r="F30" i="4"/>
  <c r="J30" i="4" s="1"/>
  <c r="F31" i="4"/>
  <c r="J31" i="4" s="1"/>
  <c r="F32" i="4"/>
  <c r="J32" i="4" s="1"/>
  <c r="F33" i="4"/>
  <c r="J33" i="4" s="1"/>
  <c r="F34" i="4"/>
  <c r="J34" i="4" s="1"/>
  <c r="F35" i="4"/>
  <c r="J35" i="4" s="1"/>
  <c r="F36" i="4"/>
  <c r="J36" i="4" s="1"/>
  <c r="F37" i="4"/>
  <c r="J37" i="4" s="1"/>
  <c r="M37" i="4" s="1"/>
  <c r="N37" i="4" s="1"/>
  <c r="F38" i="4"/>
  <c r="J38" i="4" s="1"/>
  <c r="M38" i="4" s="1"/>
  <c r="N38" i="4" s="1"/>
  <c r="F39" i="4"/>
  <c r="J39" i="4" s="1"/>
  <c r="M39" i="4" s="1"/>
  <c r="N39" i="4" s="1"/>
  <c r="F40" i="4"/>
  <c r="J40" i="4" s="1"/>
  <c r="M40" i="4" s="1"/>
  <c r="N40" i="4" s="1"/>
  <c r="F41" i="4"/>
  <c r="J41" i="4" s="1"/>
  <c r="M41" i="4" s="1"/>
  <c r="N41" i="4" s="1"/>
  <c r="F42" i="4"/>
  <c r="J42" i="4" s="1"/>
  <c r="M42" i="4" s="1"/>
  <c r="N42" i="4" s="1"/>
  <c r="F43" i="4"/>
  <c r="J43" i="4" s="1"/>
  <c r="M43" i="4" s="1"/>
  <c r="N43" i="4" s="1"/>
  <c r="F44" i="4"/>
  <c r="J44" i="4" s="1"/>
  <c r="M44" i="4" s="1"/>
  <c r="N44" i="4" s="1"/>
  <c r="F45" i="4"/>
  <c r="J45" i="4" s="1"/>
  <c r="M45" i="4" s="1"/>
  <c r="N45" i="4" s="1"/>
  <c r="F46" i="4"/>
  <c r="J46" i="4" s="1"/>
  <c r="M46" i="4" s="1"/>
  <c r="N46" i="4" s="1"/>
  <c r="F47" i="4"/>
  <c r="J47" i="4" s="1"/>
  <c r="M47" i="4" s="1"/>
  <c r="N47" i="4" s="1"/>
  <c r="F48" i="4"/>
  <c r="J48" i="4" s="1"/>
  <c r="M48" i="4" s="1"/>
  <c r="N48" i="4" s="1"/>
  <c r="F49" i="4"/>
  <c r="J49" i="4" s="1"/>
  <c r="M49" i="4" s="1"/>
  <c r="N49" i="4" s="1"/>
  <c r="F50" i="4"/>
  <c r="J50" i="4" s="1"/>
  <c r="M50" i="4" s="1"/>
  <c r="N50" i="4" s="1"/>
  <c r="F51" i="4"/>
  <c r="J51" i="4" s="1"/>
  <c r="M51" i="4" s="1"/>
  <c r="N51" i="4" s="1"/>
  <c r="F52" i="4"/>
  <c r="J52" i="4" s="1"/>
  <c r="M52" i="4" s="1"/>
  <c r="N52" i="4" s="1"/>
  <c r="F53" i="4"/>
  <c r="J53" i="4" s="1"/>
  <c r="M53" i="4" s="1"/>
  <c r="N53" i="4" s="1"/>
  <c r="F54" i="4"/>
  <c r="J54" i="4" s="1"/>
  <c r="M54" i="4" s="1"/>
  <c r="N54" i="4" s="1"/>
  <c r="F55" i="4"/>
  <c r="J55" i="4" s="1"/>
  <c r="M55" i="4" s="1"/>
  <c r="N55" i="4" s="1"/>
  <c r="F56" i="4"/>
  <c r="J56" i="4" s="1"/>
  <c r="M56" i="4" s="1"/>
  <c r="N56" i="4" s="1"/>
  <c r="F57" i="4"/>
  <c r="J57" i="4" s="1"/>
  <c r="M57" i="4" s="1"/>
  <c r="N57" i="4" s="1"/>
  <c r="F58" i="4"/>
  <c r="J58" i="4" s="1"/>
  <c r="M58" i="4" s="1"/>
  <c r="N58" i="4" s="1"/>
  <c r="F59" i="4"/>
  <c r="J59" i="4" s="1"/>
  <c r="M59" i="4" s="1"/>
  <c r="N59" i="4" s="1"/>
  <c r="F60" i="4"/>
  <c r="J60" i="4" s="1"/>
  <c r="M60" i="4" s="1"/>
  <c r="N60" i="4" s="1"/>
  <c r="F61" i="4"/>
  <c r="J61" i="4" s="1"/>
  <c r="M61" i="4" s="1"/>
  <c r="N61" i="4" s="1"/>
  <c r="F62" i="4"/>
  <c r="J62" i="4" s="1"/>
  <c r="M62" i="4" s="1"/>
  <c r="N62" i="4" s="1"/>
  <c r="F63" i="4"/>
  <c r="J63" i="4" s="1"/>
  <c r="M63" i="4" s="1"/>
  <c r="N63" i="4" s="1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K54" i="4" l="1"/>
  <c r="L54" i="4" s="1"/>
  <c r="I60" i="4" a="1"/>
  <c r="I60" i="4" s="1"/>
  <c r="K58" i="4"/>
  <c r="L58" i="4" s="1"/>
  <c r="I56" i="4" a="1"/>
  <c r="I56" i="4" s="1"/>
  <c r="K62" i="4"/>
  <c r="L62" i="4" s="1"/>
  <c r="I63" i="4" a="1"/>
  <c r="I63" i="4" s="1"/>
  <c r="I59" i="4" a="1"/>
  <c r="I59" i="4" s="1"/>
  <c r="I55" i="4" a="1"/>
  <c r="I55" i="4" s="1"/>
  <c r="K61" i="4"/>
  <c r="L61" i="4" s="1"/>
  <c r="K57" i="4"/>
  <c r="L57" i="4" s="1"/>
  <c r="K53" i="4"/>
  <c r="L53" i="4" s="1"/>
  <c r="I48" i="4" a="1"/>
  <c r="I48" i="4" s="1"/>
  <c r="I44" i="4" a="1"/>
  <c r="I44" i="4" s="1"/>
  <c r="K51" i="4"/>
  <c r="L51" i="4" s="1"/>
  <c r="I39" i="4" a="1"/>
  <c r="I39" i="4" s="1"/>
  <c r="K46" i="4"/>
  <c r="L46" i="4" s="1"/>
  <c r="K42" i="4"/>
  <c r="L42" i="4" s="1"/>
  <c r="K50" i="4"/>
  <c r="L50" i="4" s="1"/>
  <c r="I47" i="4" a="1"/>
  <c r="I47" i="4" s="1"/>
  <c r="I43" i="4" a="1"/>
  <c r="I43" i="4" s="1"/>
  <c r="K49" i="4"/>
  <c r="L49" i="4" s="1"/>
  <c r="K45" i="4"/>
  <c r="L45" i="4" s="1"/>
  <c r="I40" i="4" a="1"/>
  <c r="I40" i="4" s="1"/>
  <c r="K41" i="4"/>
  <c r="L41" i="4" s="1"/>
  <c r="K37" i="4"/>
  <c r="L37" i="4" s="1"/>
  <c r="I38" i="4" a="1"/>
  <c r="I38" i="4" s="1"/>
  <c r="M25" i="4"/>
  <c r="N25" i="4" s="1"/>
  <c r="M21" i="4"/>
  <c r="N21" i="4" s="1"/>
  <c r="M20" i="4"/>
  <c r="N20" i="4" s="1"/>
  <c r="M35" i="4"/>
  <c r="N35" i="4" s="1"/>
  <c r="M31" i="4"/>
  <c r="N31" i="4" s="1"/>
  <c r="M27" i="4"/>
  <c r="N27" i="4" s="1"/>
  <c r="M23" i="4"/>
  <c r="N23" i="4" s="1"/>
  <c r="M19" i="4"/>
  <c r="N19" i="4" s="1"/>
  <c r="I35" i="4" a="1"/>
  <c r="I35" i="4" s="1"/>
  <c r="M34" i="4"/>
  <c r="N34" i="4" s="1"/>
  <c r="K29" i="4"/>
  <c r="L29" i="4" s="1"/>
  <c r="I31" i="4" a="1"/>
  <c r="I31" i="4" s="1"/>
  <c r="M30" i="4"/>
  <c r="N30" i="4" s="1"/>
  <c r="I27" i="4" a="1"/>
  <c r="I27" i="4" s="1"/>
  <c r="K33" i="4"/>
  <c r="L33" i="4" s="1"/>
  <c r="I34" i="4" a="1"/>
  <c r="I34" i="4" s="1"/>
  <c r="I30" i="4" a="1"/>
  <c r="I30" i="4" s="1"/>
  <c r="M33" i="4"/>
  <c r="N33" i="4" s="1"/>
  <c r="M29" i="4"/>
  <c r="N29" i="4" s="1"/>
  <c r="K36" i="4"/>
  <c r="L36" i="4" s="1"/>
  <c r="K32" i="4"/>
  <c r="L32" i="4" s="1"/>
  <c r="K28" i="4"/>
  <c r="L28" i="4" s="1"/>
  <c r="M36" i="4"/>
  <c r="N36" i="4" s="1"/>
  <c r="M32" i="4"/>
  <c r="N32" i="4" s="1"/>
  <c r="M28" i="4"/>
  <c r="N28" i="4" s="1"/>
  <c r="K35" i="4"/>
  <c r="L35" i="4" s="1"/>
  <c r="K31" i="4"/>
  <c r="L31" i="4" s="1"/>
  <c r="K27" i="4"/>
  <c r="L27" i="4" s="1"/>
  <c r="M24" i="4"/>
  <c r="N24" i="4" s="1"/>
  <c r="I26" i="4" a="1"/>
  <c r="I26" i="4" s="1"/>
  <c r="M26" i="4"/>
  <c r="N26" i="4" s="1"/>
  <c r="K25" i="4"/>
  <c r="L25" i="4" s="1"/>
  <c r="I25" i="4" a="1"/>
  <c r="I25" i="4" s="1"/>
  <c r="I24" i="4" a="1"/>
  <c r="I24" i="4" s="1"/>
  <c r="K24" i="4"/>
  <c r="L24" i="4" s="1"/>
  <c r="I23" i="4" a="1"/>
  <c r="I23" i="4" s="1"/>
  <c r="K23" i="4"/>
  <c r="L23" i="4" s="1"/>
  <c r="I22" i="4" a="1"/>
  <c r="I22" i="4" s="1"/>
  <c r="M22" i="4"/>
  <c r="N22" i="4" s="1"/>
  <c r="K21" i="4"/>
  <c r="L21" i="4" s="1"/>
  <c r="I21" i="4" a="1"/>
  <c r="I21" i="4" s="1"/>
  <c r="I20" i="4" a="1"/>
  <c r="I20" i="4" s="1"/>
  <c r="K20" i="4"/>
  <c r="L20" i="4" s="1"/>
  <c r="K19" i="4"/>
  <c r="L19" i="4" s="1"/>
  <c r="O249" i="1"/>
  <c r="O245" i="1"/>
  <c r="O241" i="1"/>
  <c r="O237" i="1"/>
  <c r="O166" i="1"/>
  <c r="O218" i="1"/>
  <c r="O182" i="1"/>
  <c r="O197" i="1"/>
  <c r="O212" i="1"/>
  <c r="O202" i="1"/>
  <c r="O150" i="1"/>
  <c r="O130" i="1"/>
  <c r="O126" i="1"/>
  <c r="O122" i="1"/>
  <c r="O71" i="1"/>
  <c r="O109" i="1"/>
  <c r="O139" i="1"/>
  <c r="O79" i="1"/>
  <c r="O248" i="1"/>
  <c r="O244" i="1"/>
  <c r="O240" i="1"/>
  <c r="O236" i="1"/>
  <c r="O233" i="1"/>
  <c r="O194" i="1"/>
  <c r="O181" i="1"/>
  <c r="O196" i="1"/>
  <c r="O211" i="1"/>
  <c r="O193" i="1"/>
  <c r="O149" i="1"/>
  <c r="O129" i="1"/>
  <c r="O125" i="1"/>
  <c r="O121" i="1"/>
  <c r="O118" i="1"/>
  <c r="O108" i="1"/>
  <c r="O138" i="1"/>
  <c r="O78" i="1"/>
  <c r="O247" i="1"/>
  <c r="O243" i="1"/>
  <c r="O239" i="1"/>
  <c r="O255" i="1"/>
  <c r="O232" i="1"/>
  <c r="O235" i="1"/>
  <c r="O180" i="1"/>
  <c r="O214" i="1"/>
  <c r="O205" i="1"/>
  <c r="O165" i="1"/>
  <c r="O148" i="1"/>
  <c r="O128" i="1"/>
  <c r="O124" i="1"/>
  <c r="O120" i="1"/>
  <c r="O117" i="1"/>
  <c r="O141" i="1"/>
  <c r="O137" i="1"/>
  <c r="O116" i="1"/>
  <c r="O246" i="1"/>
  <c r="O242" i="1"/>
  <c r="O238" i="1"/>
  <c r="O167" i="1"/>
  <c r="O231" i="1"/>
  <c r="O234" i="1"/>
  <c r="O201" i="1"/>
  <c r="O213" i="1"/>
  <c r="O203" i="1"/>
  <c r="O151" i="1"/>
  <c r="O147" i="1"/>
  <c r="O127" i="1"/>
  <c r="O123" i="1"/>
  <c r="O119" i="1"/>
  <c r="O110" i="1"/>
  <c r="O140" i="1"/>
  <c r="O80" i="1"/>
  <c r="O115" i="1"/>
  <c r="K15" i="4"/>
  <c r="L15" i="4" s="1"/>
  <c r="M15" i="4"/>
  <c r="N15" i="4" s="1"/>
  <c r="K11" i="4"/>
  <c r="L11" i="4" s="1"/>
  <c r="M11" i="4"/>
  <c r="N11" i="4" s="1"/>
  <c r="K3" i="4"/>
  <c r="L3" i="4" s="1"/>
  <c r="M3" i="4"/>
  <c r="N3" i="4" s="1"/>
  <c r="K5" i="4"/>
  <c r="L5" i="4" s="1"/>
  <c r="M5" i="4"/>
  <c r="N5" i="4" s="1"/>
  <c r="M17" i="4"/>
  <c r="N17" i="4" s="1"/>
  <c r="M9" i="4"/>
  <c r="N9" i="4" s="1"/>
  <c r="K17" i="4"/>
  <c r="L17" i="4" s="1"/>
  <c r="K9" i="4"/>
  <c r="L9" i="4" s="1"/>
  <c r="M16" i="4"/>
  <c r="N16" i="4" s="1"/>
  <c r="M4" i="4"/>
  <c r="N4" i="4" s="1"/>
  <c r="K4" i="4"/>
  <c r="L4" i="4" s="1"/>
  <c r="M18" i="4"/>
  <c r="N18" i="4" s="1"/>
  <c r="M14" i="4"/>
  <c r="N14" i="4" s="1"/>
  <c r="M6" i="4"/>
  <c r="N6" i="4" s="1"/>
  <c r="M2" i="4"/>
  <c r="N2" i="4" s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8" i="1"/>
  <c r="D72" i="1"/>
  <c r="D73" i="1"/>
  <c r="D74" i="1"/>
  <c r="D105" i="1"/>
  <c r="D106" i="1"/>
  <c r="D107" i="1"/>
  <c r="D111" i="1"/>
  <c r="D112" i="1"/>
  <c r="D113" i="1"/>
  <c r="D131" i="1"/>
  <c r="D132" i="1"/>
  <c r="D133" i="1"/>
  <c r="D134" i="1"/>
  <c r="D135" i="1"/>
  <c r="D136" i="1"/>
  <c r="D142" i="1"/>
  <c r="D143" i="1"/>
  <c r="D144" i="1"/>
  <c r="D145" i="1"/>
  <c r="D146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3" i="1"/>
  <c r="D184" i="1"/>
  <c r="D185" i="1"/>
  <c r="D186" i="1"/>
  <c r="D187" i="1"/>
  <c r="D188" i="1"/>
  <c r="D189" i="1"/>
  <c r="D190" i="1"/>
  <c r="D191" i="1"/>
  <c r="D192" i="1"/>
  <c r="D195" i="1"/>
  <c r="D198" i="1"/>
  <c r="D199" i="1"/>
  <c r="D200" i="1"/>
  <c r="D204" i="1"/>
  <c r="D206" i="1"/>
  <c r="D207" i="1"/>
  <c r="D208" i="1"/>
  <c r="D209" i="1"/>
  <c r="D210" i="1"/>
  <c r="D215" i="1"/>
  <c r="D216" i="1"/>
  <c r="D217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67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50" i="1"/>
  <c r="D51" i="1"/>
  <c r="D69" i="1"/>
  <c r="D70" i="1"/>
  <c r="D101" i="1"/>
  <c r="D98" i="1"/>
  <c r="D99" i="1"/>
  <c r="D100" i="1"/>
  <c r="D75" i="1"/>
  <c r="D76" i="1"/>
  <c r="D77" i="1"/>
  <c r="D102" i="1"/>
  <c r="D103" i="1"/>
  <c r="D104" i="1"/>
  <c r="D114" i="1"/>
  <c r="P107" i="1"/>
  <c r="E8" i="4"/>
  <c r="E7" i="4"/>
  <c r="B100" i="1" l="1"/>
  <c r="B75" i="1"/>
  <c r="B76" i="1"/>
  <c r="B77" i="1"/>
  <c r="B102" i="1"/>
  <c r="B103" i="1"/>
  <c r="B104" i="1"/>
  <c r="B114" i="1"/>
  <c r="M100" i="1"/>
  <c r="N100" i="1" s="1"/>
  <c r="M75" i="1"/>
  <c r="N75" i="1" s="1"/>
  <c r="M76" i="1"/>
  <c r="N76" i="1" s="1"/>
  <c r="M77" i="1"/>
  <c r="N77" i="1" s="1"/>
  <c r="M102" i="1"/>
  <c r="N102" i="1" s="1"/>
  <c r="M103" i="1"/>
  <c r="N103" i="1" s="1"/>
  <c r="M104" i="1"/>
  <c r="N104" i="1" s="1"/>
  <c r="M114" i="1"/>
  <c r="N114" i="1" s="1"/>
  <c r="P100" i="1"/>
  <c r="I100" i="1" s="1"/>
  <c r="P75" i="1"/>
  <c r="I75" i="1" s="1"/>
  <c r="P76" i="1"/>
  <c r="I76" i="1" s="1"/>
  <c r="P77" i="1"/>
  <c r="I77" i="1" s="1"/>
  <c r="P102" i="1"/>
  <c r="I102" i="1" s="1"/>
  <c r="P103" i="1"/>
  <c r="I103" i="1" s="1"/>
  <c r="P104" i="1"/>
  <c r="I104" i="1" s="1"/>
  <c r="P114" i="1"/>
  <c r="I114" i="1" s="1"/>
  <c r="O104" i="1" l="1"/>
  <c r="O76" i="1"/>
  <c r="O114" i="1"/>
  <c r="O103" i="1"/>
  <c r="O75" i="1"/>
  <c r="O77" i="1"/>
  <c r="O102" i="1"/>
  <c r="O100" i="1"/>
  <c r="H84" i="1" l="1"/>
  <c r="H73" i="1" l="1"/>
  <c r="H46" i="1"/>
  <c r="H41" i="1"/>
  <c r="H40" i="1"/>
  <c r="H29" i="1" l="1"/>
  <c r="H13" i="4" s="1" a="1"/>
  <c r="H13" i="4" s="1"/>
  <c r="H28" i="1"/>
  <c r="H12" i="4" s="1" a="1"/>
  <c r="H12" i="4" s="1"/>
  <c r="H26" i="1"/>
  <c r="H10" i="4" s="1" a="1"/>
  <c r="H10" i="4" s="1"/>
  <c r="H24" i="1"/>
  <c r="H8" i="4" s="1" a="1"/>
  <c r="H8" i="4" s="1"/>
  <c r="H23" i="1"/>
  <c r="B32" i="1"/>
  <c r="B33" i="1"/>
  <c r="B37" i="1"/>
  <c r="B38" i="1"/>
  <c r="B39" i="1"/>
  <c r="B40" i="1"/>
  <c r="B41" i="1"/>
  <c r="B45" i="1"/>
  <c r="B46" i="1"/>
  <c r="B47" i="1"/>
  <c r="B48" i="1"/>
  <c r="B49" i="1"/>
  <c r="B44" i="1"/>
  <c r="B34" i="1"/>
  <c r="B35" i="1"/>
  <c r="B52" i="1"/>
  <c r="B53" i="1"/>
  <c r="B54" i="1"/>
  <c r="B57" i="1"/>
  <c r="B58" i="1"/>
  <c r="B55" i="1"/>
  <c r="B56" i="1"/>
  <c r="B59" i="1"/>
  <c r="B60" i="1"/>
  <c r="B61" i="1"/>
  <c r="B62" i="1"/>
  <c r="B63" i="1"/>
  <c r="B64" i="1"/>
  <c r="B68" i="1"/>
  <c r="B65" i="1"/>
  <c r="B66" i="1"/>
  <c r="B72" i="1"/>
  <c r="B73" i="1"/>
  <c r="B74" i="1"/>
  <c r="B198" i="1"/>
  <c r="B199" i="1"/>
  <c r="B200" i="1"/>
  <c r="B204" i="1"/>
  <c r="B206" i="1"/>
  <c r="B207" i="1"/>
  <c r="B208" i="1"/>
  <c r="B209" i="1"/>
  <c r="B210" i="1"/>
  <c r="B215" i="1"/>
  <c r="B216" i="1"/>
  <c r="B217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67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50" i="1"/>
  <c r="B51" i="1"/>
  <c r="B69" i="1"/>
  <c r="B70" i="1"/>
  <c r="B101" i="1"/>
  <c r="B98" i="1"/>
  <c r="B99" i="1"/>
  <c r="M32" i="1"/>
  <c r="N32" i="1" s="1"/>
  <c r="M33" i="1"/>
  <c r="N33" i="1" s="1"/>
  <c r="M37" i="1"/>
  <c r="N37" i="1" s="1"/>
  <c r="M38" i="1"/>
  <c r="N38" i="1" s="1"/>
  <c r="M39" i="1"/>
  <c r="N39" i="1" s="1"/>
  <c r="M40" i="1"/>
  <c r="N40" i="1" s="1"/>
  <c r="M41" i="1"/>
  <c r="N41" i="1" s="1"/>
  <c r="M45" i="1"/>
  <c r="N45" i="1" s="1"/>
  <c r="M46" i="1"/>
  <c r="N46" i="1" s="1"/>
  <c r="M47" i="1"/>
  <c r="N47" i="1" s="1"/>
  <c r="M48" i="1"/>
  <c r="N48" i="1" s="1"/>
  <c r="M49" i="1"/>
  <c r="N49" i="1" s="1"/>
  <c r="M44" i="1"/>
  <c r="N44" i="1" s="1"/>
  <c r="M34" i="1"/>
  <c r="N34" i="1" s="1"/>
  <c r="M35" i="1"/>
  <c r="N35" i="1" s="1"/>
  <c r="M52" i="1"/>
  <c r="N52" i="1" s="1"/>
  <c r="M53" i="1"/>
  <c r="N53" i="1" s="1"/>
  <c r="M54" i="1"/>
  <c r="N54" i="1" s="1"/>
  <c r="M57" i="1"/>
  <c r="N57" i="1" s="1"/>
  <c r="M58" i="1"/>
  <c r="N58" i="1" s="1"/>
  <c r="M55" i="1"/>
  <c r="N55" i="1" s="1"/>
  <c r="M56" i="1"/>
  <c r="N56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8" i="1"/>
  <c r="N68" i="1" s="1"/>
  <c r="M65" i="1"/>
  <c r="N65" i="1" s="1"/>
  <c r="M66" i="1"/>
  <c r="N66" i="1" s="1"/>
  <c r="M72" i="1"/>
  <c r="N72" i="1" s="1"/>
  <c r="M73" i="1"/>
  <c r="N73" i="1" s="1"/>
  <c r="M74" i="1"/>
  <c r="N74" i="1" s="1"/>
  <c r="M198" i="1"/>
  <c r="N198" i="1" s="1"/>
  <c r="M199" i="1"/>
  <c r="N199" i="1" s="1"/>
  <c r="M200" i="1"/>
  <c r="N200" i="1" s="1"/>
  <c r="M204" i="1"/>
  <c r="N204" i="1" s="1"/>
  <c r="M206" i="1"/>
  <c r="N206" i="1" s="1"/>
  <c r="M207" i="1"/>
  <c r="N207" i="1" s="1"/>
  <c r="M208" i="1"/>
  <c r="N208" i="1" s="1"/>
  <c r="M209" i="1"/>
  <c r="N209" i="1" s="1"/>
  <c r="M210" i="1"/>
  <c r="N210" i="1" s="1"/>
  <c r="M215" i="1"/>
  <c r="N215" i="1" s="1"/>
  <c r="M216" i="1"/>
  <c r="N216" i="1" s="1"/>
  <c r="M217" i="1"/>
  <c r="N217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67" i="1"/>
  <c r="N67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50" i="1"/>
  <c r="N50" i="1" s="1"/>
  <c r="M51" i="1"/>
  <c r="N51" i="1" s="1"/>
  <c r="M69" i="1"/>
  <c r="N69" i="1" s="1"/>
  <c r="M70" i="1"/>
  <c r="N70" i="1" s="1"/>
  <c r="M101" i="1"/>
  <c r="N101" i="1" s="1"/>
  <c r="M98" i="1"/>
  <c r="N98" i="1" s="1"/>
  <c r="M99" i="1"/>
  <c r="N99" i="1" s="1"/>
  <c r="P32" i="1"/>
  <c r="P33" i="1"/>
  <c r="P37" i="1"/>
  <c r="P38" i="1"/>
  <c r="P39" i="1"/>
  <c r="P40" i="1"/>
  <c r="P41" i="1"/>
  <c r="P45" i="1"/>
  <c r="P46" i="1"/>
  <c r="P47" i="1"/>
  <c r="P48" i="1"/>
  <c r="P49" i="1"/>
  <c r="P44" i="1"/>
  <c r="P34" i="1"/>
  <c r="P35" i="1"/>
  <c r="P52" i="1"/>
  <c r="P53" i="1"/>
  <c r="P54" i="1"/>
  <c r="P57" i="1"/>
  <c r="P58" i="1"/>
  <c r="P55" i="1"/>
  <c r="P56" i="1"/>
  <c r="P59" i="1"/>
  <c r="P60" i="1"/>
  <c r="P61" i="1"/>
  <c r="P62" i="1"/>
  <c r="P63" i="1"/>
  <c r="P64" i="1"/>
  <c r="P68" i="1"/>
  <c r="P65" i="1"/>
  <c r="P66" i="1"/>
  <c r="P72" i="1"/>
  <c r="P73" i="1"/>
  <c r="P74" i="1"/>
  <c r="P198" i="1"/>
  <c r="P199" i="1"/>
  <c r="P200" i="1"/>
  <c r="P204" i="1"/>
  <c r="P206" i="1"/>
  <c r="P207" i="1"/>
  <c r="P208" i="1"/>
  <c r="P209" i="1"/>
  <c r="P210" i="1"/>
  <c r="P215" i="1"/>
  <c r="P216" i="1"/>
  <c r="P217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67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50" i="1"/>
  <c r="P51" i="1"/>
  <c r="P69" i="1"/>
  <c r="P70" i="1"/>
  <c r="P101" i="1"/>
  <c r="P98" i="1"/>
  <c r="P99" i="1"/>
  <c r="B31" i="1"/>
  <c r="M31" i="1"/>
  <c r="N31" i="1" s="1"/>
  <c r="P3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36" i="1"/>
  <c r="B42" i="1"/>
  <c r="B43" i="1"/>
  <c r="B105" i="1"/>
  <c r="B106" i="1"/>
  <c r="B107" i="1"/>
  <c r="B111" i="1"/>
  <c r="B112" i="1"/>
  <c r="B113" i="1"/>
  <c r="B131" i="1"/>
  <c r="B132" i="1"/>
  <c r="B133" i="1"/>
  <c r="B134" i="1"/>
  <c r="B135" i="1"/>
  <c r="B136" i="1"/>
  <c r="B142" i="1"/>
  <c r="B143" i="1"/>
  <c r="B144" i="1"/>
  <c r="B145" i="1"/>
  <c r="B146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8" i="1"/>
  <c r="B169" i="1"/>
  <c r="B170" i="1"/>
  <c r="B171" i="1"/>
  <c r="B172" i="1"/>
  <c r="B173" i="1"/>
  <c r="B174" i="1"/>
  <c r="B175" i="1"/>
  <c r="B176" i="1"/>
  <c r="B177" i="1"/>
  <c r="B183" i="1"/>
  <c r="B184" i="1"/>
  <c r="B185" i="1"/>
  <c r="B186" i="1"/>
  <c r="B187" i="1"/>
  <c r="B188" i="1"/>
  <c r="B189" i="1"/>
  <c r="B190" i="1"/>
  <c r="B191" i="1"/>
  <c r="B192" i="1"/>
  <c r="B195" i="1"/>
  <c r="B178" i="1"/>
  <c r="B179" i="1"/>
  <c r="B22" i="1"/>
  <c r="B23" i="1"/>
  <c r="B24" i="1"/>
  <c r="B25" i="1"/>
  <c r="B26" i="1"/>
  <c r="B27" i="1"/>
  <c r="B28" i="1"/>
  <c r="B29" i="1"/>
  <c r="B30" i="1"/>
  <c r="B2" i="1"/>
  <c r="M195" i="1"/>
  <c r="N195" i="1" s="1"/>
  <c r="M178" i="1"/>
  <c r="N178" i="1" s="1"/>
  <c r="M179" i="1"/>
  <c r="N179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P195" i="1"/>
  <c r="P178" i="1"/>
  <c r="P179" i="1"/>
  <c r="P22" i="1"/>
  <c r="P23" i="1"/>
  <c r="P24" i="1"/>
  <c r="P25" i="1"/>
  <c r="P26" i="1"/>
  <c r="P27" i="1"/>
  <c r="P28" i="1"/>
  <c r="P29" i="1"/>
  <c r="P30" i="1"/>
  <c r="M192" i="1"/>
  <c r="N192" i="1" s="1"/>
  <c r="P192" i="1"/>
  <c r="M191" i="1"/>
  <c r="N191" i="1" s="1"/>
  <c r="P191" i="1"/>
  <c r="M190" i="1"/>
  <c r="N190" i="1" s="1"/>
  <c r="P190" i="1"/>
  <c r="M189" i="1"/>
  <c r="N189" i="1" s="1"/>
  <c r="P189" i="1"/>
  <c r="M185" i="1"/>
  <c r="N185" i="1" s="1"/>
  <c r="P185" i="1"/>
  <c r="M186" i="1"/>
  <c r="N186" i="1" s="1"/>
  <c r="M187" i="1"/>
  <c r="N187" i="1" s="1"/>
  <c r="M188" i="1"/>
  <c r="N188" i="1" s="1"/>
  <c r="P186" i="1"/>
  <c r="P187" i="1"/>
  <c r="P188" i="1"/>
  <c r="M184" i="1"/>
  <c r="N184" i="1" s="1"/>
  <c r="P184" i="1"/>
  <c r="K8" i="4" l="1"/>
  <c r="L8" i="4" s="1"/>
  <c r="I8" i="4" a="1"/>
  <c r="I8" i="4" s="1"/>
  <c r="M8" i="4"/>
  <c r="N8" i="4" s="1"/>
  <c r="K10" i="4"/>
  <c r="L10" i="4" s="1"/>
  <c r="M10" i="4"/>
  <c r="N10" i="4" s="1"/>
  <c r="I10" i="4" a="1"/>
  <c r="I10" i="4" s="1"/>
  <c r="I12" i="4" a="1"/>
  <c r="I12" i="4" s="1"/>
  <c r="M12" i="4"/>
  <c r="N12" i="4" s="1"/>
  <c r="K12" i="4"/>
  <c r="L12" i="4" s="1"/>
  <c r="H7" i="4" a="1"/>
  <c r="H7" i="4" s="1"/>
  <c r="I17" i="4" a="1"/>
  <c r="I17" i="4" s="1"/>
  <c r="I15" i="4" a="1"/>
  <c r="I15" i="4" s="1"/>
  <c r="I16" i="4" a="1"/>
  <c r="I16" i="4" s="1"/>
  <c r="I9" i="4" a="1"/>
  <c r="I9" i="4" s="1"/>
  <c r="I2" i="4" a="1"/>
  <c r="I2" i="4" s="1"/>
  <c r="I11" i="4" a="1"/>
  <c r="I11" i="4" s="1"/>
  <c r="I6" i="4" a="1"/>
  <c r="I6" i="4" s="1"/>
  <c r="I4" i="4" a="1"/>
  <c r="I4" i="4" s="1"/>
  <c r="I18" i="4" a="1"/>
  <c r="I18" i="4" s="1"/>
  <c r="I14" i="4" a="1"/>
  <c r="I14" i="4" s="1"/>
  <c r="I19" i="4" a="1"/>
  <c r="I19" i="4" s="1"/>
  <c r="I3" i="4" a="1"/>
  <c r="I3" i="4" s="1"/>
  <c r="I5" i="4" a="1"/>
  <c r="I5" i="4" s="1"/>
  <c r="I13" i="4" a="1"/>
  <c r="I13" i="4" s="1"/>
  <c r="K13" i="4"/>
  <c r="L13" i="4" s="1"/>
  <c r="M13" i="4"/>
  <c r="N13" i="4" s="1"/>
  <c r="I184" i="1"/>
  <c r="O184" i="1"/>
  <c r="I188" i="1"/>
  <c r="O188" i="1"/>
  <c r="I189" i="1"/>
  <c r="O189" i="1"/>
  <c r="I191" i="1"/>
  <c r="O191" i="1"/>
  <c r="I30" i="1"/>
  <c r="O30" i="1"/>
  <c r="I26" i="1"/>
  <c r="O26" i="1"/>
  <c r="I22" i="1"/>
  <c r="O22" i="1"/>
  <c r="I99" i="1"/>
  <c r="O99" i="1"/>
  <c r="I69" i="1"/>
  <c r="O69" i="1"/>
  <c r="I96" i="1"/>
  <c r="O96" i="1"/>
  <c r="I92" i="1"/>
  <c r="O92" i="1"/>
  <c r="I88" i="1"/>
  <c r="O88" i="1"/>
  <c r="I84" i="1"/>
  <c r="O84" i="1"/>
  <c r="I67" i="1"/>
  <c r="O67" i="1"/>
  <c r="I227" i="1"/>
  <c r="O227" i="1"/>
  <c r="I223" i="1"/>
  <c r="O223" i="1"/>
  <c r="I219" i="1"/>
  <c r="O219" i="1"/>
  <c r="I210" i="1"/>
  <c r="O210" i="1"/>
  <c r="I206" i="1"/>
  <c r="O206" i="1"/>
  <c r="I198" i="1"/>
  <c r="O198" i="1"/>
  <c r="I66" i="1"/>
  <c r="O66" i="1"/>
  <c r="I63" i="1"/>
  <c r="O63" i="1"/>
  <c r="I59" i="1"/>
  <c r="O59" i="1"/>
  <c r="I57" i="1"/>
  <c r="O57" i="1"/>
  <c r="I35" i="1"/>
  <c r="O35" i="1"/>
  <c r="I48" i="1"/>
  <c r="O48" i="1"/>
  <c r="I41" i="1"/>
  <c r="O41" i="1"/>
  <c r="I187" i="1"/>
  <c r="O187" i="1"/>
  <c r="I29" i="1"/>
  <c r="O29" i="1"/>
  <c r="I25" i="1"/>
  <c r="O25" i="1"/>
  <c r="I179" i="1"/>
  <c r="O179" i="1"/>
  <c r="I31" i="1"/>
  <c r="O31" i="1"/>
  <c r="I98" i="1"/>
  <c r="O98" i="1"/>
  <c r="I51" i="1"/>
  <c r="O51" i="1"/>
  <c r="I95" i="1"/>
  <c r="O95" i="1"/>
  <c r="I91" i="1"/>
  <c r="O91" i="1"/>
  <c r="I87" i="1"/>
  <c r="O87" i="1"/>
  <c r="I83" i="1"/>
  <c r="O83" i="1"/>
  <c r="I230" i="1"/>
  <c r="O230" i="1"/>
  <c r="I226" i="1"/>
  <c r="O226" i="1"/>
  <c r="I222" i="1"/>
  <c r="O222" i="1"/>
  <c r="I217" i="1"/>
  <c r="O217" i="1"/>
  <c r="I209" i="1"/>
  <c r="O209" i="1"/>
  <c r="I204" i="1"/>
  <c r="O204" i="1"/>
  <c r="I74" i="1"/>
  <c r="O74" i="1"/>
  <c r="I65" i="1"/>
  <c r="O65" i="1"/>
  <c r="I62" i="1"/>
  <c r="O62" i="1"/>
  <c r="I56" i="1"/>
  <c r="O56" i="1"/>
  <c r="I54" i="1"/>
  <c r="O54" i="1"/>
  <c r="I34" i="1"/>
  <c r="O34" i="1"/>
  <c r="I47" i="1"/>
  <c r="O47" i="1"/>
  <c r="I40" i="1"/>
  <c r="O40" i="1"/>
  <c r="I33" i="1"/>
  <c r="O33" i="1"/>
  <c r="I32" i="1"/>
  <c r="O32" i="1"/>
  <c r="I186" i="1"/>
  <c r="O186" i="1"/>
  <c r="I185" i="1"/>
  <c r="O185" i="1"/>
  <c r="I190" i="1"/>
  <c r="O190" i="1"/>
  <c r="I192" i="1"/>
  <c r="O192" i="1"/>
  <c r="I28" i="1"/>
  <c r="O28" i="1"/>
  <c r="I24" i="1"/>
  <c r="O24" i="1"/>
  <c r="I178" i="1"/>
  <c r="O178" i="1"/>
  <c r="I101" i="1"/>
  <c r="O101" i="1"/>
  <c r="I50" i="1"/>
  <c r="O50" i="1"/>
  <c r="I94" i="1"/>
  <c r="O94" i="1"/>
  <c r="I90" i="1"/>
  <c r="O90" i="1"/>
  <c r="I86" i="1"/>
  <c r="O86" i="1"/>
  <c r="I82" i="1"/>
  <c r="O82" i="1"/>
  <c r="I229" i="1"/>
  <c r="O229" i="1"/>
  <c r="I225" i="1"/>
  <c r="O225" i="1"/>
  <c r="I221" i="1"/>
  <c r="O221" i="1"/>
  <c r="I216" i="1"/>
  <c r="O216" i="1"/>
  <c r="I208" i="1"/>
  <c r="O208" i="1"/>
  <c r="I200" i="1"/>
  <c r="O200" i="1"/>
  <c r="I73" i="1"/>
  <c r="O73" i="1"/>
  <c r="I68" i="1"/>
  <c r="O68" i="1"/>
  <c r="I61" i="1"/>
  <c r="O61" i="1"/>
  <c r="I55" i="1"/>
  <c r="O55" i="1"/>
  <c r="I53" i="1"/>
  <c r="O53" i="1"/>
  <c r="I44" i="1"/>
  <c r="O44" i="1"/>
  <c r="I46" i="1"/>
  <c r="O46" i="1"/>
  <c r="I39" i="1"/>
  <c r="O39" i="1"/>
  <c r="I27" i="1"/>
  <c r="O27" i="1"/>
  <c r="I23" i="1"/>
  <c r="O23" i="1"/>
  <c r="I195" i="1"/>
  <c r="O195" i="1"/>
  <c r="I70" i="1"/>
  <c r="O70" i="1"/>
  <c r="I97" i="1"/>
  <c r="O97" i="1"/>
  <c r="I93" i="1"/>
  <c r="O93" i="1"/>
  <c r="I89" i="1"/>
  <c r="O89" i="1"/>
  <c r="I85" i="1"/>
  <c r="O85" i="1"/>
  <c r="I81" i="1"/>
  <c r="O81" i="1"/>
  <c r="I228" i="1"/>
  <c r="O228" i="1"/>
  <c r="I224" i="1"/>
  <c r="O224" i="1"/>
  <c r="I220" i="1"/>
  <c r="O220" i="1"/>
  <c r="I215" i="1"/>
  <c r="O215" i="1"/>
  <c r="I207" i="1"/>
  <c r="O207" i="1"/>
  <c r="I199" i="1"/>
  <c r="O199" i="1"/>
  <c r="I72" i="1"/>
  <c r="O72" i="1"/>
  <c r="I64" i="1"/>
  <c r="O64" i="1"/>
  <c r="I60" i="1"/>
  <c r="O60" i="1"/>
  <c r="I58" i="1"/>
  <c r="O58" i="1"/>
  <c r="I52" i="1"/>
  <c r="O52" i="1"/>
  <c r="I49" i="1"/>
  <c r="O49" i="1"/>
  <c r="I45" i="1"/>
  <c r="O45" i="1"/>
  <c r="I38" i="1"/>
  <c r="O38" i="1"/>
  <c r="I37" i="1"/>
  <c r="O37" i="1"/>
  <c r="P43" i="1"/>
  <c r="P42" i="1"/>
  <c r="K7" i="4" l="1"/>
  <c r="L7" i="4" s="1"/>
  <c r="M7" i="4"/>
  <c r="N7" i="4" s="1"/>
  <c r="I7" i="4" a="1"/>
  <c r="I7" i="4" s="1"/>
  <c r="M2" i="1"/>
  <c r="N2" i="1" s="1"/>
  <c r="M5" i="1"/>
  <c r="N5" i="1" s="1"/>
  <c r="M6" i="1"/>
  <c r="N6" i="1" s="1"/>
  <c r="M9" i="1"/>
  <c r="N9" i="1" s="1"/>
  <c r="M10" i="1"/>
  <c r="N10" i="1" s="1"/>
  <c r="M7" i="1"/>
  <c r="N7" i="1" s="1"/>
  <c r="M8" i="1"/>
  <c r="N8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42" i="1"/>
  <c r="N42" i="1" s="1"/>
  <c r="O42" i="1" s="1"/>
  <c r="M43" i="1"/>
  <c r="N43" i="1" s="1"/>
  <c r="O43" i="1" s="1"/>
  <c r="M176" i="1"/>
  <c r="N176" i="1" s="1"/>
  <c r="M177" i="1"/>
  <c r="N177" i="1" s="1"/>
  <c r="M183" i="1"/>
  <c r="N183" i="1" s="1"/>
  <c r="P2" i="1"/>
  <c r="P5" i="1"/>
  <c r="P6" i="1"/>
  <c r="P9" i="1"/>
  <c r="P10" i="1"/>
  <c r="P7" i="1"/>
  <c r="P8" i="1"/>
  <c r="P11" i="1"/>
  <c r="P12" i="1"/>
  <c r="P13" i="1"/>
  <c r="P14" i="1"/>
  <c r="P15" i="1"/>
  <c r="P16" i="1"/>
  <c r="P17" i="1"/>
  <c r="P18" i="1"/>
  <c r="P19" i="1"/>
  <c r="P20" i="1"/>
  <c r="P21" i="1"/>
  <c r="I42" i="1"/>
  <c r="I43" i="1"/>
  <c r="P176" i="1"/>
  <c r="P177" i="1"/>
  <c r="P183" i="1"/>
  <c r="I176" i="1" l="1"/>
  <c r="O176" i="1"/>
  <c r="I12" i="1"/>
  <c r="O12" i="1"/>
  <c r="I2" i="1"/>
  <c r="O2" i="1"/>
  <c r="I15" i="1"/>
  <c r="O15" i="1"/>
  <c r="I9" i="1"/>
  <c r="O9" i="1"/>
  <c r="I183" i="1"/>
  <c r="O183" i="1"/>
  <c r="I18" i="1"/>
  <c r="O18" i="1"/>
  <c r="I14" i="1"/>
  <c r="O14" i="1"/>
  <c r="I8" i="1"/>
  <c r="O8" i="1"/>
  <c r="I6" i="1"/>
  <c r="O6" i="1"/>
  <c r="I20" i="1"/>
  <c r="O20" i="1"/>
  <c r="I16" i="1"/>
  <c r="O16" i="1"/>
  <c r="I10" i="1"/>
  <c r="O10" i="1"/>
  <c r="I19" i="1"/>
  <c r="O19" i="1"/>
  <c r="I11" i="1"/>
  <c r="O11" i="1"/>
  <c r="I177" i="1"/>
  <c r="O177" i="1"/>
  <c r="I21" i="1"/>
  <c r="O21" i="1"/>
  <c r="I17" i="1"/>
  <c r="O17" i="1"/>
  <c r="I13" i="1"/>
  <c r="O13" i="1"/>
  <c r="I7" i="1"/>
  <c r="O7" i="1"/>
  <c r="I5" i="1"/>
  <c r="O5" i="1"/>
  <c r="M175" i="1"/>
  <c r="N175" i="1" s="1"/>
  <c r="M170" i="1"/>
  <c r="N170" i="1" s="1"/>
  <c r="M171" i="1"/>
  <c r="N171" i="1" s="1"/>
  <c r="M172" i="1"/>
  <c r="N172" i="1" s="1"/>
  <c r="M173" i="1"/>
  <c r="N173" i="1" s="1"/>
  <c r="M136" i="1"/>
  <c r="N136" i="1" s="1"/>
  <c r="M174" i="1"/>
  <c r="N174" i="1" s="1"/>
  <c r="M36" i="1"/>
  <c r="N36" i="1" s="1"/>
  <c r="M3" i="1"/>
  <c r="N3" i="1" s="1"/>
  <c r="M4" i="1"/>
  <c r="N4" i="1" s="1"/>
  <c r="M146" i="1"/>
  <c r="N146" i="1" s="1"/>
  <c r="M131" i="1"/>
  <c r="N131" i="1" s="1"/>
  <c r="M132" i="1"/>
  <c r="N132" i="1" s="1"/>
  <c r="M133" i="1"/>
  <c r="N133" i="1" s="1"/>
  <c r="M134" i="1"/>
  <c r="N134" i="1" s="1"/>
  <c r="M135" i="1"/>
  <c r="N135" i="1" s="1"/>
  <c r="P170" i="1"/>
  <c r="P171" i="1"/>
  <c r="P172" i="1"/>
  <c r="P173" i="1"/>
  <c r="P136" i="1"/>
  <c r="P174" i="1"/>
  <c r="P175" i="1"/>
  <c r="P36" i="1"/>
  <c r="P3" i="1"/>
  <c r="P4" i="1"/>
  <c r="P146" i="1"/>
  <c r="P131" i="1"/>
  <c r="P132" i="1"/>
  <c r="P133" i="1"/>
  <c r="P134" i="1"/>
  <c r="P135" i="1"/>
  <c r="M111" i="1"/>
  <c r="N111" i="1" s="1"/>
  <c r="M112" i="1"/>
  <c r="N112" i="1" s="1"/>
  <c r="M113" i="1"/>
  <c r="N113" i="1" s="1"/>
  <c r="P169" i="1"/>
  <c r="P111" i="1"/>
  <c r="P112" i="1"/>
  <c r="P113" i="1"/>
  <c r="P168" i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P158" i="1"/>
  <c r="P159" i="1"/>
  <c r="P160" i="1"/>
  <c r="P161" i="1"/>
  <c r="P162" i="1"/>
  <c r="P163" i="1"/>
  <c r="P164" i="1"/>
  <c r="M105" i="1"/>
  <c r="N105" i="1" s="1"/>
  <c r="M106" i="1"/>
  <c r="N106" i="1" s="1"/>
  <c r="M107" i="1"/>
  <c r="N107" i="1" s="1"/>
  <c r="M152" i="1"/>
  <c r="N152" i="1" s="1"/>
  <c r="M153" i="1"/>
  <c r="N153" i="1" s="1"/>
  <c r="M154" i="1"/>
  <c r="N154" i="1" s="1"/>
  <c r="M142" i="1"/>
  <c r="N142" i="1" s="1"/>
  <c r="M143" i="1"/>
  <c r="N143" i="1" s="1"/>
  <c r="M144" i="1"/>
  <c r="N144" i="1" s="1"/>
  <c r="M145" i="1"/>
  <c r="N145" i="1" s="1"/>
  <c r="M155" i="1"/>
  <c r="N155" i="1" s="1"/>
  <c r="M156" i="1"/>
  <c r="N156" i="1" s="1"/>
  <c r="M157" i="1"/>
  <c r="N157" i="1" s="1"/>
  <c r="P105" i="1"/>
  <c r="P106" i="1"/>
  <c r="P152" i="1"/>
  <c r="P153" i="1"/>
  <c r="P154" i="1"/>
  <c r="P142" i="1"/>
  <c r="P143" i="1"/>
  <c r="P144" i="1"/>
  <c r="P145" i="1"/>
  <c r="P155" i="1"/>
  <c r="P156" i="1"/>
  <c r="P157" i="1"/>
  <c r="I142" i="1" l="1"/>
  <c r="O142" i="1"/>
  <c r="I164" i="1"/>
  <c r="O164" i="1"/>
  <c r="I112" i="1"/>
  <c r="O112" i="1"/>
  <c r="I4" i="1"/>
  <c r="O4" i="1"/>
  <c r="I174" i="1"/>
  <c r="O174" i="1"/>
  <c r="I145" i="1"/>
  <c r="O145" i="1"/>
  <c r="I106" i="1"/>
  <c r="O106" i="1"/>
  <c r="I159" i="1"/>
  <c r="O159" i="1"/>
  <c r="I132" i="1"/>
  <c r="O132" i="1"/>
  <c r="I136" i="1"/>
  <c r="O136" i="1"/>
  <c r="I144" i="1"/>
  <c r="O144" i="1"/>
  <c r="I153" i="1"/>
  <c r="O153" i="1"/>
  <c r="I105" i="1"/>
  <c r="O105" i="1"/>
  <c r="I162" i="1"/>
  <c r="O162" i="1"/>
  <c r="I158" i="1"/>
  <c r="O158" i="1"/>
  <c r="I168" i="1"/>
  <c r="I169" i="1"/>
  <c r="I135" i="1"/>
  <c r="O135" i="1"/>
  <c r="I131" i="1"/>
  <c r="O131" i="1"/>
  <c r="I36" i="1"/>
  <c r="O36" i="1"/>
  <c r="I173" i="1"/>
  <c r="O173" i="1"/>
  <c r="I155" i="1"/>
  <c r="O155" i="1"/>
  <c r="I107" i="1"/>
  <c r="O107" i="1"/>
  <c r="I160" i="1"/>
  <c r="O160" i="1"/>
  <c r="I133" i="1"/>
  <c r="O133" i="1"/>
  <c r="I171" i="1"/>
  <c r="O171" i="1"/>
  <c r="I154" i="1"/>
  <c r="O154" i="1"/>
  <c r="I163" i="1"/>
  <c r="O163" i="1"/>
  <c r="I111" i="1"/>
  <c r="O111" i="1"/>
  <c r="I3" i="1"/>
  <c r="O3" i="1"/>
  <c r="I170" i="1"/>
  <c r="O170" i="1"/>
  <c r="I157" i="1"/>
  <c r="O157" i="1"/>
  <c r="I156" i="1"/>
  <c r="O156" i="1"/>
  <c r="I143" i="1"/>
  <c r="O143" i="1"/>
  <c r="I152" i="1"/>
  <c r="O152" i="1"/>
  <c r="I161" i="1"/>
  <c r="O161" i="1"/>
  <c r="I113" i="1"/>
  <c r="O113" i="1"/>
  <c r="I134" i="1"/>
  <c r="O134" i="1"/>
  <c r="I146" i="1"/>
  <c r="O146" i="1"/>
  <c r="I175" i="1"/>
  <c r="O175" i="1"/>
  <c r="I172" i="1"/>
  <c r="O172" i="1"/>
  <c r="M169" i="1"/>
  <c r="N169" i="1" s="1"/>
  <c r="O169" i="1" s="1"/>
  <c r="M168" i="1"/>
  <c r="N168" i="1" s="1"/>
  <c r="O168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EF896A-A5EA-4D06-81EC-45087124350A}" keepAlive="1" name="Consulta - TC_BNA xlsx" description="Conexión a la consulta 'TC_BNA xlsx' en el libro." type="5" refreshedVersion="8" background="1" saveData="1">
    <dbPr connection="Provider=Microsoft.Mashup.OleDb.1;Data Source=$Workbook$;Location=&quot;TC_BNA xlsx&quot;;Extended Properties=&quot;&quot;" command="SELECT * FROM [TC_BNA xlsx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<sst xmlns="http://schemas.openxmlformats.org/spreadsheetml/2006/main" count="2086" uniqueCount="330">
  <si>
    <t>Fecha</t>
  </si>
  <si>
    <t>Artículo</t>
  </si>
  <si>
    <t>Proveedor</t>
  </si>
  <si>
    <t>Cantidad</t>
  </si>
  <si>
    <t>Unidad</t>
  </si>
  <si>
    <t>Precio Unitario ARS</t>
  </si>
  <si>
    <t>Precio Unitario USD</t>
  </si>
  <si>
    <t>DTO</t>
  </si>
  <si>
    <t>Moneda</t>
  </si>
  <si>
    <t>IVA</t>
  </si>
  <si>
    <t>Subtotal ARS</t>
  </si>
  <si>
    <t>TC BNA</t>
  </si>
  <si>
    <t>Observaciones</t>
  </si>
  <si>
    <t>Fecha cotizacion</t>
  </si>
  <si>
    <t>Compra</t>
  </si>
  <si>
    <t>Venta</t>
  </si>
  <si>
    <t>Adamat</t>
  </si>
  <si>
    <t>bolsa</t>
  </si>
  <si>
    <t>TOTAL ARS</t>
  </si>
  <si>
    <t>ARS</t>
  </si>
  <si>
    <t>Precio Cotizado</t>
  </si>
  <si>
    <t>Estado</t>
  </si>
  <si>
    <t>Tech Safe</t>
  </si>
  <si>
    <t>par</t>
  </si>
  <si>
    <t>Aserradero Alonso</t>
  </si>
  <si>
    <t>unidad</t>
  </si>
  <si>
    <t>Lunares 30mm (Blanco)</t>
  </si>
  <si>
    <t>Lunares 30mm (Negro)</t>
  </si>
  <si>
    <t>Lunares 30mm (Azul)</t>
  </si>
  <si>
    <t>Lunares 30mm (Naranja)</t>
  </si>
  <si>
    <t>Lunares 15mm (Blanco)</t>
  </si>
  <si>
    <t>Lunares 15mm (Negro)</t>
  </si>
  <si>
    <t>Lunares 15mm (Azul)</t>
  </si>
  <si>
    <t>Etiquetas DK 2205 (Fleje)</t>
  </si>
  <si>
    <t>Etiquetas DK 1226 (Estandar)</t>
  </si>
  <si>
    <t>Etiquetas Dobles  50x29 (embalaje)</t>
  </si>
  <si>
    <t>Pinceles</t>
  </si>
  <si>
    <t>Tobera MB25 (Herrería)</t>
  </si>
  <si>
    <t>Difusor de Gas (Herrería)</t>
  </si>
  <si>
    <t>Repuesto roscado caudalímetro (Herrería)</t>
  </si>
  <si>
    <t>TUBO M6 0.9mm  (Herrería)</t>
  </si>
  <si>
    <t>Curitas</t>
  </si>
  <si>
    <t>Jabón neutro</t>
  </si>
  <si>
    <t>Agua oxigenada</t>
  </si>
  <si>
    <t>Alcohol</t>
  </si>
  <si>
    <t>Pervinox</t>
  </si>
  <si>
    <t>Gasa</t>
  </si>
  <si>
    <t>Cinta adhesiva</t>
  </si>
  <si>
    <t>Guantes de latex</t>
  </si>
  <si>
    <t>Disco Flapper 115 mm</t>
  </si>
  <si>
    <t>Disco de Corte 115 mm</t>
  </si>
  <si>
    <t>Disco de Corte 178 mm</t>
  </si>
  <si>
    <t>Disco de Desbaste 114 mm</t>
  </si>
  <si>
    <t>Precintos 500 x 10</t>
  </si>
  <si>
    <t>Precintos 450 x 10</t>
  </si>
  <si>
    <t>Precintos 250 x 10</t>
  </si>
  <si>
    <t>Cinta Metrica 3 mts</t>
  </si>
  <si>
    <t>Cinta Metrica 5 mts</t>
  </si>
  <si>
    <t>Cinta Metrica 10 mts</t>
  </si>
  <si>
    <t>Lubricantes Aerosol</t>
  </si>
  <si>
    <t>Limpia contactos</t>
  </si>
  <si>
    <t>Aceite DRAFOS MNL (Base SMR)</t>
  </si>
  <si>
    <t>Pasta Antiadherente (Herrería)</t>
  </si>
  <si>
    <t>Aerosol Negro Semi-mate</t>
  </si>
  <si>
    <t>Aeroso Blanco Semi-mate</t>
  </si>
  <si>
    <t>Disco Sensitiva 350 mm</t>
  </si>
  <si>
    <t>Tijera corta chapa</t>
  </si>
  <si>
    <t>Hoja de Sierra P/Serrucho  L2450mm</t>
  </si>
  <si>
    <t>Agua Destilada</t>
  </si>
  <si>
    <t>Anteojos  Seguridad</t>
  </si>
  <si>
    <t>Faja Lumbar TALLE S</t>
  </si>
  <si>
    <t>Faja Lumbar TALLE M</t>
  </si>
  <si>
    <t>Faja Lumbar TALLE L</t>
  </si>
  <si>
    <t>Faja Lumbar TALLE XL</t>
  </si>
  <si>
    <t>Faja Lumbar TALLE XXL</t>
  </si>
  <si>
    <t>Guantes Dyne 5</t>
  </si>
  <si>
    <t>Guantes Poli (Tactil) 8#</t>
  </si>
  <si>
    <t>Guantes Poli (Tactil) 10#</t>
  </si>
  <si>
    <t>Guantes Vaqueta Largos</t>
  </si>
  <si>
    <t>Manga anticorte</t>
  </si>
  <si>
    <t>Cinta Amarilla (Demarcación piso)</t>
  </si>
  <si>
    <t>Alambre de Soldadura 0,9 mm</t>
  </si>
  <si>
    <t>Gancho P/Zuncho Crique</t>
  </si>
  <si>
    <t>Funda de Cuero</t>
  </si>
  <si>
    <t>Cerrojo 210</t>
  </si>
  <si>
    <t xml:space="preserve">Eslinga Violeta 5 mts x 1000kg </t>
  </si>
  <si>
    <t xml:space="preserve">Eslinga Violeta 3 mts x 1000kg </t>
  </si>
  <si>
    <t xml:space="preserve">Eslinga Amarillo 4 mts x 3000kg </t>
  </si>
  <si>
    <t xml:space="preserve">Eslinga Roja 4 mts x 5000kg </t>
  </si>
  <si>
    <t>Stretch 10 cm</t>
  </si>
  <si>
    <t>Stretch 10 cm Negro</t>
  </si>
  <si>
    <t>Stretch 10 cm Rojo</t>
  </si>
  <si>
    <t>Stretch 50 cm C/Mango</t>
  </si>
  <si>
    <t>Tubo de Gas (Atal)</t>
  </si>
  <si>
    <t>Tubo de Oxígeno</t>
  </si>
  <si>
    <t>Gas Oil</t>
  </si>
  <si>
    <t>Gas Oil Premium</t>
  </si>
  <si>
    <t>Zuncho Verde 19mm</t>
  </si>
  <si>
    <t>Telgopor 50x50x450</t>
  </si>
  <si>
    <t>Telgopor 50x50x600</t>
  </si>
  <si>
    <t>Bolsas Tubos x 100 mic</t>
  </si>
  <si>
    <t>Bolsas Tubos x 80 mic</t>
  </si>
  <si>
    <t>Bisagras 20x80</t>
  </si>
  <si>
    <t>Bolsas de Arpillera 100 x 60</t>
  </si>
  <si>
    <t>Bolsas de Arpillera 80 x 60</t>
  </si>
  <si>
    <t>Tacos  1 1/2" x 3" x 1130mm</t>
  </si>
  <si>
    <t>Tacos 2" x 2 1/2" x 640mm</t>
  </si>
  <si>
    <t>Tacos 1 1/2" x 3" x 300mm</t>
  </si>
  <si>
    <t>Pallets</t>
  </si>
  <si>
    <t>Artículos</t>
  </si>
  <si>
    <t>Mix-57</t>
  </si>
  <si>
    <t>Coiro</t>
  </si>
  <si>
    <t>Diprov</t>
  </si>
  <si>
    <t>Farmacia</t>
  </si>
  <si>
    <t>Wurth</t>
  </si>
  <si>
    <t>Pampa Soldadura</t>
  </si>
  <si>
    <t>Fercol</t>
  </si>
  <si>
    <t>Pinturería Giannoni</t>
  </si>
  <si>
    <t>Alpamet</t>
  </si>
  <si>
    <t>Roguant</t>
  </si>
  <si>
    <t>Paimunt</t>
  </si>
  <si>
    <t>Roberto Gustavo Q.</t>
  </si>
  <si>
    <t>Diprin</t>
  </si>
  <si>
    <t>Prive</t>
  </si>
  <si>
    <t>Mad Packaging</t>
  </si>
  <si>
    <t>Formaco</t>
  </si>
  <si>
    <t>Frío Acero</t>
  </si>
  <si>
    <t>Greenfilm</t>
  </si>
  <si>
    <t>Plásticos Aloha</t>
  </si>
  <si>
    <t>Metalúrgica Diego</t>
  </si>
  <si>
    <t>Franco Damario</t>
  </si>
  <si>
    <t>Pallets Buenos Aires</t>
  </si>
  <si>
    <t>Habitual</t>
  </si>
  <si>
    <t>si</t>
  </si>
  <si>
    <t>no</t>
  </si>
  <si>
    <t>Embalsur</t>
  </si>
  <si>
    <t>Rollo pluribol</t>
  </si>
  <si>
    <t>Rollo Pluribol</t>
  </si>
  <si>
    <t>Cartón corrugado</t>
  </si>
  <si>
    <t>USD</t>
  </si>
  <si>
    <t>Arandela Plana Zinc. 1/4"</t>
  </si>
  <si>
    <t>Arandela Plana Zinc. 5/16"</t>
  </si>
  <si>
    <t>Tor. Cab. Re. 1/4"</t>
  </si>
  <si>
    <t>Tuerca Cupla 1/4"</t>
  </si>
  <si>
    <t>Broca 1/4"</t>
  </si>
  <si>
    <t>Broca 3/8"</t>
  </si>
  <si>
    <t>Broca 5/16"</t>
  </si>
  <si>
    <t>Tor. Traba 1/4"</t>
  </si>
  <si>
    <t>Tuerca Flange Zinc. 1/4"</t>
  </si>
  <si>
    <t>Disur</t>
  </si>
  <si>
    <t>kg</t>
  </si>
  <si>
    <t>precio x menor cant</t>
  </si>
  <si>
    <t>Varilla Roscada Zinc. 1/4"</t>
  </si>
  <si>
    <t>Varilla Roscada Zinc. 3/8"</t>
  </si>
  <si>
    <t>Varilla Roscada Zinc. 5/16"</t>
  </si>
  <si>
    <t>Dusvar</t>
  </si>
  <si>
    <t>m3</t>
  </si>
  <si>
    <t>4 tubos</t>
  </si>
  <si>
    <t>Resmas</t>
  </si>
  <si>
    <t>Toner Laser HP 105</t>
  </si>
  <si>
    <t>Zicari Mariana Elena</t>
  </si>
  <si>
    <t>pack</t>
  </si>
  <si>
    <t>bonif 37% (entender fac)</t>
  </si>
  <si>
    <t>Etiquetas 30mm cuadrado (Verde)</t>
  </si>
  <si>
    <t>rollo</t>
  </si>
  <si>
    <t>Tuerca Flange Zinc. 3/8"</t>
  </si>
  <si>
    <t>Distribuidora Tubulón</t>
  </si>
  <si>
    <t>Esdevi - Valeria</t>
  </si>
  <si>
    <t>Arandela Plana Zinc. 3/8"</t>
  </si>
  <si>
    <t>Tuerca Zinc. 1/4"</t>
  </si>
  <si>
    <t>Tuerca Zinc. 3/8"</t>
  </si>
  <si>
    <t>Tuerca Zinc. 5/16"</t>
  </si>
  <si>
    <t>1 tubo</t>
  </si>
  <si>
    <t>EU-150</t>
  </si>
  <si>
    <t>EU-200</t>
  </si>
  <si>
    <t>MTZ</t>
  </si>
  <si>
    <t>Lista 03-2026</t>
  </si>
  <si>
    <t>(Todas)</t>
  </si>
  <si>
    <t>Etiquetas de fila</t>
  </si>
  <si>
    <t>Total general</t>
  </si>
  <si>
    <t>Suma de Subtotal ARS</t>
  </si>
  <si>
    <t xml:space="preserve">Pantalón cargo ombú </t>
  </si>
  <si>
    <t>Mes</t>
  </si>
  <si>
    <t>Lysoform</t>
  </si>
  <si>
    <t>Blem</t>
  </si>
  <si>
    <t>Bolsas 50x70</t>
  </si>
  <si>
    <t>Bolsas 80x110</t>
  </si>
  <si>
    <t>Esponjas</t>
  </si>
  <si>
    <t>Desodorante p/piso Lavanda</t>
  </si>
  <si>
    <t>Guantes de limpieza (Talle L)</t>
  </si>
  <si>
    <t>Papel higiénico Industrial</t>
  </si>
  <si>
    <t>Papel higiénico Ofic.</t>
  </si>
  <si>
    <t>Rollo de cocina Industial</t>
  </si>
  <si>
    <t>Rollo de cocina Ofic.</t>
  </si>
  <si>
    <t>Dispénser de rollo de cocina</t>
  </si>
  <si>
    <t>Esponja tipo patito</t>
  </si>
  <si>
    <t>Limpia vidrios</t>
  </si>
  <si>
    <t>Jabón líquido</t>
  </si>
  <si>
    <t>Detergente</t>
  </si>
  <si>
    <t>Lavandina Gel</t>
  </si>
  <si>
    <t>Lavandina Líquida</t>
  </si>
  <si>
    <t>Cif en crema</t>
  </si>
  <si>
    <t>Alcohol en gel</t>
  </si>
  <si>
    <t>Alcohol 96%</t>
  </si>
  <si>
    <t>Escobillones</t>
  </si>
  <si>
    <t>Secador de piso</t>
  </si>
  <si>
    <t>Raid P/Hormigas</t>
  </si>
  <si>
    <t>Raid P/Moscas</t>
  </si>
  <si>
    <t>Raid P/Cucarachas</t>
  </si>
  <si>
    <t>Pastillas inodoro Migintorios</t>
  </si>
  <si>
    <t>Pastillas inodoro Adhesivas</t>
  </si>
  <si>
    <t>Rejilla</t>
  </si>
  <si>
    <t>Trapo de piso</t>
  </si>
  <si>
    <t xml:space="preserve">Saphirus </t>
  </si>
  <si>
    <t>Imperio de la Limpieza</t>
  </si>
  <si>
    <t>litro</t>
  </si>
  <si>
    <t>Casco S/Arnes Blanco</t>
  </si>
  <si>
    <t>Casco S/Arnes Azul</t>
  </si>
  <si>
    <t>Arnes P/Casco</t>
  </si>
  <si>
    <t>Protector Auditivo</t>
  </si>
  <si>
    <t>Tacos 1 1/2" x 4" x 1100mm</t>
  </si>
  <si>
    <t>Para Guillón</t>
  </si>
  <si>
    <t>EU-250</t>
  </si>
  <si>
    <t>EU-300</t>
  </si>
  <si>
    <t>NC</t>
  </si>
  <si>
    <t>Cadena Calibrada</t>
  </si>
  <si>
    <t>Metrochain</t>
  </si>
  <si>
    <t>m</t>
  </si>
  <si>
    <t>Lente máscara de soldar</t>
  </si>
  <si>
    <t>PLANCHUELA 1 X 1/2 X 3/16</t>
  </si>
  <si>
    <t>ANGULO 1" 1/4 X 1/8 x kg</t>
  </si>
  <si>
    <t>HIERRO T 1" 1/4 X 1/8</t>
  </si>
  <si>
    <t>Casanova</t>
  </si>
  <si>
    <t>Plancha cartón separador</t>
  </si>
  <si>
    <t>GALVA 1220 X 2440 3,2</t>
  </si>
  <si>
    <t>Pacheco Chapas</t>
  </si>
  <si>
    <t>Tomaron TC 1455</t>
  </si>
  <si>
    <t>Tomaron TC 1435</t>
  </si>
  <si>
    <t>Tomaron TC 1495</t>
  </si>
  <si>
    <t>(en blanco)</t>
  </si>
  <si>
    <t>Marca Bremen</t>
  </si>
  <si>
    <t>TOTAL USD</t>
  </si>
  <si>
    <t>Últ. Precio</t>
  </si>
  <si>
    <t>Sobrecosto Total</t>
  </si>
  <si>
    <t>Dif por Unidad</t>
  </si>
  <si>
    <t>Último Proveedor</t>
  </si>
  <si>
    <t>Zapato Ombú prusiano</t>
  </si>
  <si>
    <t>Aníbal Roncoroni</t>
  </si>
  <si>
    <t>Camisa Grafa</t>
  </si>
  <si>
    <t>Pantalón cargo Grafa</t>
  </si>
  <si>
    <t>Mejor Precio</t>
  </si>
  <si>
    <t>Mejor Proveedor</t>
  </si>
  <si>
    <t>Mejora de precio de un 7%</t>
  </si>
  <si>
    <t>Tor. Traba 3/8"</t>
  </si>
  <si>
    <t>Rubro</t>
  </si>
  <si>
    <t>Embalaje</t>
  </si>
  <si>
    <t>Soldadura</t>
  </si>
  <si>
    <t>Herramientas</t>
  </si>
  <si>
    <t>Pintura</t>
  </si>
  <si>
    <t>Lubricantes</t>
  </si>
  <si>
    <t>Combustible</t>
  </si>
  <si>
    <t>EPP</t>
  </si>
  <si>
    <t>Materia Prima</t>
  </si>
  <si>
    <t>Limpieza</t>
  </si>
  <si>
    <t>Reventa</t>
  </si>
  <si>
    <t>Servicio</t>
  </si>
  <si>
    <t>Librería</t>
  </si>
  <si>
    <t>Artículos de librería - Varios</t>
  </si>
  <si>
    <t>Librería Maya</t>
  </si>
  <si>
    <t>Costo de envío + seguro</t>
  </si>
  <si>
    <t>Pintura Amarillo 04 - 1 l</t>
  </si>
  <si>
    <t>Arandela Plana Zinc. 1/2"</t>
  </si>
  <si>
    <t>Broca 1/2"</t>
  </si>
  <si>
    <t>Inserto 1/4"</t>
  </si>
  <si>
    <t>Inserto 3/8"</t>
  </si>
  <si>
    <t>Inserto 5/16"</t>
  </si>
  <si>
    <t>Inserto c/ resorte 1/4"</t>
  </si>
  <si>
    <t>Inserto c/ resorte 3/8"</t>
  </si>
  <si>
    <t>Inserto c/ resorte 5/16"</t>
  </si>
  <si>
    <t>Tuerca Cupla 1/2"</t>
  </si>
  <si>
    <t>Tuerca Cupla 3/8"</t>
  </si>
  <si>
    <t>Tuerca Cupla 5/16"</t>
  </si>
  <si>
    <t>Tor. Cab. Re. 3/8"</t>
  </si>
  <si>
    <t>Tuerca Zinc. 1/2"</t>
  </si>
  <si>
    <t>Tor. Cab. Re. 1/4" x 2 1/4"</t>
  </si>
  <si>
    <t>Tor. Punta Mecha 8 x 9/16</t>
  </si>
  <si>
    <t>Tor. Punta Mecha Fijadora 6x1</t>
  </si>
  <si>
    <t>Grampa Olmar 16</t>
  </si>
  <si>
    <t>Grampa Olmar 19</t>
  </si>
  <si>
    <t>Grampa Olmar 23</t>
  </si>
  <si>
    <t>Grampa Olmar 26</t>
  </si>
  <si>
    <t>Grampa Olmar 32</t>
  </si>
  <si>
    <t>Grampa Olmar 40</t>
  </si>
  <si>
    <t>Grampa Olmar 52</t>
  </si>
  <si>
    <t>Grampa Olmar 65</t>
  </si>
  <si>
    <t>Grampa Chaveta 19 (3/4")</t>
  </si>
  <si>
    <t>Grampa Chaveta 21 (7/8")</t>
  </si>
  <si>
    <t>Grampa Chaveta 26 (1")</t>
  </si>
  <si>
    <t>Grampa Media Omega 1/4"</t>
  </si>
  <si>
    <t>Grampa Media Omega 3/8"</t>
  </si>
  <si>
    <t>Grampa Media Omega 1/2"</t>
  </si>
  <si>
    <t>Grampa Media Omega 5/8"</t>
  </si>
  <si>
    <t>Grampa Media Omega 3/4"</t>
  </si>
  <si>
    <t>Grampa Media Omega 7/8"</t>
  </si>
  <si>
    <t>Grampa Media Omega 1"</t>
  </si>
  <si>
    <t>Grampa Omega 3/4"</t>
  </si>
  <si>
    <t>Grampa Omega 7/8"</t>
  </si>
  <si>
    <t>Grampa Omega 1"</t>
  </si>
  <si>
    <t>Grampa Omega 1 1/4"</t>
  </si>
  <si>
    <t>Grampa Omega 1 1/2"</t>
  </si>
  <si>
    <t>Grampa Omega 2"</t>
  </si>
  <si>
    <t>Metalúrgica Santa Fe</t>
  </si>
  <si>
    <t>Sierra</t>
  </si>
  <si>
    <t>Toner 217 AC</t>
  </si>
  <si>
    <t>Toner 510 A</t>
  </si>
  <si>
    <t>Pilas AA</t>
  </si>
  <si>
    <t>Pilas AAA</t>
  </si>
  <si>
    <t>Fibrón p/pizarra</t>
  </si>
  <si>
    <t>Tacho de basura</t>
  </si>
  <si>
    <t>Clavos 4"</t>
  </si>
  <si>
    <t>Cuaderno A4</t>
  </si>
  <si>
    <t>Tijera de papel</t>
  </si>
  <si>
    <t>Lapicera económica</t>
  </si>
  <si>
    <t>Broche mit 10</t>
  </si>
  <si>
    <t>Sobres 14x21</t>
  </si>
  <si>
    <t>paquete</t>
  </si>
  <si>
    <t>bidón</t>
  </si>
  <si>
    <t>Envío</t>
  </si>
  <si>
    <t>Variación vs 
Últ. Precio</t>
  </si>
  <si>
    <t>stretch 10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</si>
</sst>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[$USD]\ #,##0.00"/>
    <numFmt numFmtId="165" formatCode="&quot;$&quot;\ 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theme="5" tint="-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</cellStyleXfs>
  <cellXfs count="46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44" fontId="0" fillId="0" borderId="0" xfId="1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4" fontId="0" fillId="0" borderId="0" xfId="0" applyNumberFormat="1" applyFill="1" applyBorder="1" applyAlignment="1">
      <alignment horizontal="center" vertical="center"/>
    </xf>
    <xf numFmtId="44" fontId="0" fillId="0" borderId="0" xfId="1" applyFont="1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10" fontId="0" fillId="0" borderId="0" xfId="2" applyNumberFormat="1" applyFont="1" applyFill="1" applyBorder="1" applyAlignment="1">
      <alignment horizontal="center" vertical="center"/>
    </xf>
    <xf numFmtId="9" fontId="0" fillId="0" borderId="0" xfId="2" applyFont="1" applyFill="1" applyBorder="1" applyAlignment="1">
      <alignment horizontal="center" vertical="center"/>
    </xf>
    <xf numFmtId="44" fontId="0" fillId="0" borderId="0" xfId="2" applyNumberFormat="1" applyFont="1" applyFill="1" applyBorder="1" applyAlignment="1">
      <alignment horizontal="center" vertical="center"/>
    </xf>
    <xf numFmtId="44" fontId="0" fillId="0" borderId="0" xfId="1" applyNumberFormat="1" applyFont="1" applyFill="1" applyBorder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4" fontId="0" fillId="0" borderId="0" xfId="0" applyNumberFormat="1" applyFill="1" applyAlignment="1">
      <alignment horizontal="center" vertical="center"/>
    </xf>
    <xf numFmtId="44" fontId="0" fillId="0" borderId="0" xfId="1" applyFont="1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9" fontId="0" fillId="0" borderId="0" xfId="2" applyFont="1" applyFill="1" applyAlignment="1">
      <alignment horizontal="center" vertical="center"/>
    </xf>
    <xf numFmtId="44" fontId="0" fillId="0" borderId="0" xfId="2" applyNumberFormat="1" applyFont="1" applyFill="1" applyAlignment="1">
      <alignment horizontal="center" vertical="center"/>
    </xf>
    <xf numFmtId="44" fontId="0" fillId="0" borderId="0" xfId="1" applyNumberFormat="1" applyFon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left" vertical="center"/>
    </xf>
    <xf numFmtId="9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44" fontId="0" fillId="0" borderId="0" xfId="0" applyNumberFormat="1"/>
  </cellXfs>
  <cellStyles count="6">
    <cellStyle name="Moneda" xfId="1" builtinId="4"/>
    <cellStyle name="Normal" xfId="0" builtinId="0"/>
    <cellStyle name="Normal 1304" xfId="5" xr:uid="{2E6DF667-5332-499A-9B4A-89C65A284595}"/>
    <cellStyle name="Normal 2" xfId="3" xr:uid="{5AACE88A-E80A-4F41-9C43-64166761592B}"/>
    <cellStyle name="Normal 770" xfId="4" xr:uid="{C86F08D5-C3BC-44B6-9431-1A7642FA9ED2}"/>
    <cellStyle name="Porcentaje" xfId="2" builtinId="5"/>
  </cellStyles>
  <dxfs count="48">
    <dxf>
      <font>
        <color rgb="FF9C0006"/>
      </font>
      <fill>
        <patternFill>
          <bgColor rgb="FFFFC7CE"/>
        </patternFill>
      </fill>
    </dxf>
    <dxf>
      <numFmt numFmtId="165" formatCode="&quot;$&quot;\ #,##0.00"/>
    </dxf>
    <dxf>
      <numFmt numFmtId="165" formatCode="&quot;$&quot;\ #,##0.00"/>
    </dxf>
    <dxf>
      <numFmt numFmtId="165" formatCode="&quot;$&quot;\ #,##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/yyyy"/>
      <alignment horizontal="center" vertical="bottom" textRotation="0" wrapText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34" formatCode="_-&quot;$&quot;\ * #,##0.00_-;\-&quot;$&quot;\ * #,##0.00_-;_-&quot;$&quot;\ * &quot;-&quot;??_-;_-@_-"/>
      <alignment horizontal="center" vertical="bottom" textRotation="0" wrapText="0" indent="0" justifyLastLine="0" shrinkToFit="0" readingOrder="0"/>
    </dxf>
    <dxf>
      <numFmt numFmtId="34" formatCode="_-&quot;$&quot;\ * #,##0.00_-;\-&quot;$&quot;\ * #,##0.00_-;_-&quot;$&quot;\ * &quot;-&quot;??_-;_-@_-"/>
      <alignment horizontal="center" vertical="bottom" textRotation="0" wrapText="0" indent="0" justifyLastLine="0" shrinkToFit="0" readingOrder="0"/>
    </dxf>
    <dxf>
      <numFmt numFmtId="14" formatCode="0.00%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$&quot;\ * #,##0.00_-;\-&quot;$&quot;\ * #,##0.00_-;_-&quot;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$&quot;\ * #,##0.00_-;\-&quot;$&quot;\ * #,##0.00_-;_-&quot;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$&quot;\ * #,##0.00_-;\-&quot;$&quot;\ * #,##0.00_-;_-&quot;$&quot;\ * &quot;-&quot;??_-;_-@_-"/>
      <alignment horizontal="center" vertical="bottom" textRotation="0" wrapText="0" indent="0" justifyLastLine="0" shrinkToFit="0" readingOrder="0"/>
    </dxf>
    <dxf>
      <numFmt numFmtId="34" formatCode="_-&quot;$&quot;\ * #,##0.00_-;\-&quot;$&quot;\ * #,##0.00_-;_-&quot;$&quot;\ * &quot;-&quot;??_-;_-@_-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5" tint="-0.499984740745262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4" formatCode="_-&quot;$&quot;\ * #,##0.00_-;\-&quot;$&quot;\ * #,##0.00_-;_-&quot;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[$USD]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numFmt numFmtId="19" formatCode="d/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zmin Lopez" refreshedDate="46231.612252662038" createdVersion="8" refreshedVersion="8" minRefreshableVersion="3" recordCount="325" xr:uid="{BFB18777-E820-433C-8CB0-0E9C771823C5}">
  <cacheSource type="worksheet">
    <worksheetSource name="Tabla2"/>
  </cacheSource>
  <cacheFields count="17">
    <cacheField name="Fecha" numFmtId="0">
      <sharedItems containsNonDate="0" containsDate="1" containsString="0" containsBlank="1" minDate="2026-05-12T00:00:00" maxDate="2026-07-29T00:00:00" count="43">
        <d v="2026-05-12T00:00:00"/>
        <d v="2026-05-20T00:00:00"/>
        <d v="2026-05-21T00:00:00"/>
        <d v="2026-05-22T00:00:00"/>
        <d v="2026-05-26T00:00:00"/>
        <d v="2026-05-27T00:00:00"/>
        <d v="2026-05-28T00:00:00"/>
        <d v="2026-05-29T00:00:00"/>
        <d v="2026-06-01T00:00:00"/>
        <d v="2026-06-02T00:00:00"/>
        <d v="2026-06-03T00:00:00"/>
        <d v="2026-06-05T00:00:00"/>
        <d v="2026-06-08T00:00:00"/>
        <d v="2026-06-09T00:00:00"/>
        <d v="2026-06-10T00:00:00"/>
        <d v="2026-06-11T00:00:00"/>
        <d v="2026-06-12T00:00:00"/>
        <d v="2026-06-16T00:00:00"/>
        <d v="2026-06-17T00:00:00"/>
        <d v="2026-06-18T00:00:00"/>
        <d v="2026-06-19T00:00:00"/>
        <d v="2026-06-23T00:00:00"/>
        <d v="2026-06-24T00:00:00"/>
        <d v="2026-06-26T00:00:00"/>
        <d v="2026-06-29T00:00:00"/>
        <d v="2026-06-30T00:00:00"/>
        <d v="2026-07-01T00:00:00"/>
        <d v="2026-07-02T00:00:00"/>
        <d v="2026-07-03T00:00:00"/>
        <d v="2026-07-06T00:00:00"/>
        <d v="2026-07-07T00:00:00"/>
        <d v="2026-07-08T00:00:00"/>
        <d v="2026-07-09T00:00:00"/>
        <d v="2026-07-14T00:00:00"/>
        <d v="2026-07-15T00:00:00"/>
        <d v="2026-07-16T00:00:00"/>
        <d v="2026-07-17T00:00:00"/>
        <d v="2026-07-21T00:00:00"/>
        <d v="2026-07-22T00:00:00"/>
        <d v="2026-07-24T00:00:00"/>
        <d v="2026-07-27T00:00:00"/>
        <d v="2026-07-28T00:00:00"/>
        <m/>
      </sharedItems>
    </cacheField>
    <cacheField name="Mes" numFmtId="0">
      <sharedItems containsSemiMixedTypes="0" containsString="0" containsNumber="1" containsInteger="1" minValue="1" maxValue="7" count="4">
        <n v="5"/>
        <n v="6"/>
        <n v="7"/>
        <n v="1"/>
      </sharedItems>
    </cacheField>
    <cacheField name="Artículo" numFmtId="0">
      <sharedItems containsBlank="1" count="118">
        <s v="Stretch 10 cm"/>
        <s v="Resmas"/>
        <s v="Toner Laser HP 105"/>
        <s v="Tuerca Flange Zinc. 1/4&quot;"/>
        <s v="Tuerca Flange Zinc. 3/8&quot;"/>
        <s v="Tubo de Gas (Atal)"/>
        <s v="Alambre de Soldadura 0,9 mm"/>
        <s v="Papel higiénico Industrial"/>
        <s v="Dispénser de rollo de cocina"/>
        <s v="Guantes Poli (Tactil) 8#"/>
        <s v="Guantes Poli (Tactil) 10#"/>
        <s v="Guantes Dyne 5"/>
        <s v="Arandela Plana Zinc. 1/4&quot;"/>
        <s v="Arandela Plana Zinc. 3/8&quot;"/>
        <s v="Arandela Plana Zinc. 5/16&quot;"/>
        <s v="Tor. Cab. Re. 1/4&quot;"/>
        <s v="Tor. Traba 1/4&quot;"/>
        <s v="Tuerca Zinc. 1/4&quot;"/>
        <s v="Tuerca Zinc. 3/8&quot;"/>
        <s v="Tuerca Zinc. 5/16&quot;"/>
        <s v="Lysoform"/>
        <s v="Bolsas 50x70"/>
        <s v="Bolsas 80x110"/>
        <s v="Esponjas"/>
        <s v="Desodorante p/piso Lavanda"/>
        <s v="Guantes de limpieza (Talle L)"/>
        <s v="Jabón líquido"/>
        <s v="Detergente"/>
        <s v="Rejilla"/>
        <s v="Trapo de piso"/>
        <s v="Saphirus "/>
        <s v="Esponja tipo patito"/>
        <s v="EU-250"/>
        <s v="EU-300"/>
        <s v="Pallets"/>
        <s v="Stretch 50 cm C/Mango"/>
        <s v="Precintos 450 x 10"/>
        <s v="Casco S/Arnes Blanco"/>
        <s v="Arnes P/Casco"/>
        <s v="Tubo de Oxígeno"/>
        <s v="Tacos 1 1/2&quot; x 4&quot; x 1100mm"/>
        <s v="Sierra"/>
        <s v="Hoja de Sierra P/Serrucho  L2450mm"/>
        <s v="Cadena Calibrada"/>
        <s v="Tacos  1 1/2&quot; x 3&quot; x 1130mm"/>
        <s v="Tacos 2&quot; x 2 1/2&quot; x 640mm"/>
        <s v="Varilla Roscada Zinc. 1/4&quot;"/>
        <s v="Varilla Roscada Zinc. 5/16&quot;"/>
        <s v="Lente máscara de soldar"/>
        <s v="Precintos 500 x 10"/>
        <s v="PLANCHUELA 1 X 1/2 X 3/16"/>
        <s v="ANGULO 1&quot; 1/4 X 1/8 x kg"/>
        <s v="HIERRO T 1&quot; 1/4 X 1/8"/>
        <s v="Plancha cartón separador"/>
        <s v="Artículos de librería - Varios"/>
        <s v="Rollo pluribol"/>
        <s v="Cerrojo 210"/>
        <s v="Bolsas Tubos x 100 mic"/>
        <s v="GALVA 1220 X 2440 3,2"/>
        <s v="Varilla Roscada Zinc. 3/8&quot;"/>
        <s v="Telgopor 50x50x450"/>
        <s v="Telgopor 50x50x600"/>
        <s v="Disco de Corte 115 mm"/>
        <s v="Costo de envío + seguro"/>
        <s v="Pintura Amarillo 04 - 1 l"/>
        <s v="Grampa Olmar 19"/>
        <s v="Grampa Olmar 26"/>
        <s v="Grampa Chaveta 19 (3/4&quot;)"/>
        <s v="Grampa Media Omega 3/4&quot;"/>
        <s v="Grampa Omega 3/4&quot;"/>
        <s v="Grampa Omega 1&quot;"/>
        <s v="Zapato Ombú prusiano"/>
        <s v="Toner 217 AC"/>
        <s v="Toner 510 A"/>
        <s v="Precintos 250 x 10"/>
        <s v="Stretch 10 cm Negro"/>
        <s v="Pantalón cargo Grafa"/>
        <s v="Alcohol 96%"/>
        <s v="Tacho de basura"/>
        <s v="Lunares 15mm (Azul)"/>
        <s v="Lunares 15mm (Negro)"/>
        <s v="Etiquetas Dobles  50x29 (embalaje)"/>
        <s v="Etiquetas 30mm cuadrado (Verde)"/>
        <s v="Etiquetas DK 2205 (Fleje)"/>
        <s v="Zuncho Verde 19mm"/>
        <s v="Pilas AAA"/>
        <s v="Pilas AA"/>
        <s v="Fibrón p/pizarra"/>
        <s v="Cartón corrugado"/>
        <s v="Lubricantes Aerosol"/>
        <s v="Tacos 1 1/2&quot; x 3&quot; x 300mm"/>
        <s v="Clavos 4&quot;"/>
        <s v="Tuerca Cupla 1/4&quot;"/>
        <s v="Broca 1/4&quot;"/>
        <s v="Broca 3/8&quot;"/>
        <s v="Broca 5/16&quot;"/>
        <s v="Anteojos  Seguridad"/>
        <s v="Guantes Vaqueta Largos"/>
        <s v="EU-150"/>
        <s v="EU-200"/>
        <s v="Cinta Metrica 3 mts"/>
        <s v="Cinta Metrica 5 mts"/>
        <s v="Cinta Metrica 10 mts"/>
        <s v="Pantalón cargo ombú "/>
        <s v="Faja Lumbar TALLE M"/>
        <s v="Bolsas de Arpillera 100 x 60"/>
        <s v="Tobera MB25 (Herrería)"/>
        <s v="Tijera corta chapa"/>
        <s v="Cuaderno A4"/>
        <s v="Broche mit 10"/>
        <s v="Tijera de papel"/>
        <s v="Lapicera económica"/>
        <s v="Camisa Grafa"/>
        <s v="Sobres 14x21"/>
        <s v="Tor. Traba 3/8&quot;"/>
        <s v="Lavandina Líquida"/>
        <s v="Escobillones"/>
        <m/>
      </sharedItems>
    </cacheField>
    <cacheField name="Rubro" numFmtId="0">
      <sharedItems containsMixedTypes="1" containsNumber="1" containsInteger="1" minValue="0" maxValue="0"/>
    </cacheField>
    <cacheField name="Proveedor" numFmtId="0">
      <sharedItems containsBlank="1" count="36">
        <s v="Mad Packaging"/>
        <s v="Zicari Mariana Elena"/>
        <s v="Distribuidora Tubulón"/>
        <s v="Roberto Gustavo Q."/>
        <s v="Esdevi - Valeria"/>
        <s v="Tech Safe"/>
        <s v="Disur"/>
        <s v="Imperio de la Limpieza"/>
        <s v="MTZ"/>
        <s v="Pallets Buenos Aires"/>
        <s v="Adamat"/>
        <s v="Roguant"/>
        <s v="Aserradero Alonso"/>
        <s v="Alpamet"/>
        <s v="Metrochain"/>
        <s v="Dusvar"/>
        <s v="Diprov"/>
        <s v="Casanova"/>
        <s v="Librería Maya"/>
        <s v="Prive"/>
        <s v="Greenfilm"/>
        <s v="Pacheco Chapas"/>
        <s v="Frío Acero"/>
        <s v="Wurth"/>
        <s v="Pinturería Giannoni"/>
        <s v="Metalúrgica Santa Fe"/>
        <s v="Plásticos Aloha"/>
        <s v="Aníbal Roncoroni"/>
        <s v="Mix-57"/>
        <s v="Formaco"/>
        <s v="Embalsur"/>
        <s v="Fercol"/>
        <s v="Pampa Soldadura"/>
        <s v="Franco Damario"/>
        <s v="Coiro"/>
        <m/>
      </sharedItems>
    </cacheField>
    <cacheField name="Cantidad" numFmtId="4">
      <sharedItems containsString="0" containsBlank="1" containsNumber="1" minValue="1" maxValue="100800"/>
    </cacheField>
    <cacheField name="Unidad" numFmtId="0">
      <sharedItems containsBlank="1"/>
    </cacheField>
    <cacheField name="Precio Unitario ARS" numFmtId="44">
      <sharedItems containsString="0" containsBlank="1" containsNumber="1" minValue="12.5" maxValue="256000"/>
    </cacheField>
    <cacheField name="Precio Unitario USD" numFmtId="164">
      <sharedItems containsMixedTypes="1" containsNumber="1" minValue="8.3056478405315621E-3" maxValue="176.55172413793105"/>
    </cacheField>
    <cacheField name="DTO" numFmtId="0">
      <sharedItems containsString="0" containsBlank="1" containsNumber="1" minValue="0" maxValue="0.4"/>
    </cacheField>
    <cacheField name="Moneda" numFmtId="0">
      <sharedItems containsBlank="1"/>
    </cacheField>
    <cacheField name="IVA" numFmtId="9">
      <sharedItems containsString="0" containsBlank="1" containsNumber="1" minValue="0" maxValue="0.21"/>
    </cacheField>
    <cacheField name="Subtotal ARS" numFmtId="44">
      <sharedItems containsSemiMixedTypes="0" containsString="0" containsNumber="1" minValue="0" maxValue="9722624.2799999993"/>
    </cacheField>
    <cacheField name="TOTAL ARS" numFmtId="44">
      <sharedItems containsSemiMixedTypes="0" containsString="0" containsNumber="1" minValue="0" maxValue="11764375.378799999"/>
    </cacheField>
    <cacheField name="TOTAL USD" numFmtId="44">
      <sharedItems containsMixedTypes="1" containsNumber="1" minValue="0.52006039603960397" maxValue="8113.3623302068963"/>
    </cacheField>
    <cacheField name="TC BNA" numFmtId="0">
      <sharedItems containsSemiMixedTypes="0" containsString="0" containsNumber="1" containsInteger="1" minValue="0" maxValue="1520"/>
    </cacheField>
    <cacheField name="Observacion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zmin Lopez" refreshedDate="46232.635698842591" createdVersion="8" refreshedVersion="8" minRefreshableVersion="3" recordCount="326" xr:uid="{D1980FCA-F4CF-43F8-B2D0-7BF24E62FB6F}">
  <cacheSource type="worksheet">
    <worksheetSource ref="A1:Q1048576" sheet="Historial de compras"/>
  </cacheSource>
  <cacheFields count="17">
    <cacheField name="Fecha" numFmtId="0">
      <sharedItems containsNonDate="0" containsDate="1" containsString="0" containsBlank="1" minDate="2026-05-12T00:00:00" maxDate="2026-07-30T00:00:00" count="44">
        <d v="2026-05-12T00:00:00"/>
        <d v="2026-05-20T00:00:00"/>
        <d v="2026-05-21T00:00:00"/>
        <d v="2026-05-22T00:00:00"/>
        <d v="2026-05-26T00:00:00"/>
        <d v="2026-05-27T00:00:00"/>
        <d v="2026-05-28T00:00:00"/>
        <d v="2026-05-29T00:00:00"/>
        <d v="2026-06-01T00:00:00"/>
        <d v="2026-06-02T00:00:00"/>
        <d v="2026-06-03T00:00:00"/>
        <d v="2026-06-05T00:00:00"/>
        <d v="2026-06-08T00:00:00"/>
        <d v="2026-06-09T00:00:00"/>
        <d v="2026-06-10T00:00:00"/>
        <d v="2026-06-11T00:00:00"/>
        <d v="2026-06-12T00:00:00"/>
        <d v="2026-06-16T00:00:00"/>
        <d v="2026-06-17T00:00:00"/>
        <d v="2026-06-18T00:00:00"/>
        <d v="2026-06-19T00:00:00"/>
        <d v="2026-06-23T00:00:00"/>
        <d v="2026-06-24T00:00:00"/>
        <d v="2026-06-26T00:00:00"/>
        <d v="2026-06-29T00:00:00"/>
        <d v="2026-06-30T00:00:00"/>
        <d v="2026-07-01T00:00:00"/>
        <d v="2026-07-02T00:00:00"/>
        <d v="2026-07-03T00:00:00"/>
        <d v="2026-07-06T00:00:00"/>
        <d v="2026-07-07T00:00:00"/>
        <d v="2026-07-08T00:00:00"/>
        <d v="2026-07-09T00:00:00"/>
        <d v="2026-07-14T00:00:00"/>
        <d v="2026-07-15T00:00:00"/>
        <d v="2026-07-16T00:00:00"/>
        <d v="2026-07-17T00:00:00"/>
        <d v="2026-07-21T00:00:00"/>
        <d v="2026-07-22T00:00:00"/>
        <d v="2026-07-24T00:00:00"/>
        <d v="2026-07-27T00:00:00"/>
        <d v="2026-07-28T00:00:00"/>
        <d v="2026-07-29T00:00:00"/>
        <m/>
      </sharedItems>
    </cacheField>
    <cacheField name="Mes" numFmtId="0">
      <sharedItems containsString="0" containsBlank="1" containsNumber="1" containsInteger="1" minValue="1" maxValue="7" count="5">
        <n v="5"/>
        <n v="6"/>
        <n v="7"/>
        <n v="1"/>
        <m/>
      </sharedItems>
    </cacheField>
    <cacheField name="Artículo" numFmtId="0">
      <sharedItems containsBlank="1" count="132">
        <s v="Stretch 10 cm"/>
        <s v="Resmas"/>
        <s v="Toner Laser HP 105"/>
        <s v="Tuerca Flange Zinc. 1/4&quot;"/>
        <s v="Tuerca Flange Zinc. 3/8&quot;"/>
        <s v="Tubo de Gas (Atal)"/>
        <s v="Alambre de Soldadura 0,9 mm"/>
        <s v="Papel higiénico Industrial"/>
        <s v="Dispénser de rollo de cocina"/>
        <s v="Guantes Poli (Tactil) 8#"/>
        <s v="Guantes Poli (Tactil) 10#"/>
        <s v="Guantes Dyne 5"/>
        <s v="Arandela Plana Zinc. 1/4&quot;"/>
        <s v="Arandela Plana Zinc. 3/8&quot;"/>
        <s v="Arandela Plana Zinc. 5/16&quot;"/>
        <s v="Tor. Cab. Re. 1/4&quot;"/>
        <s v="Tor. Traba 1/4&quot;"/>
        <s v="Tuerca Zinc. 1/4&quot;"/>
        <s v="Tuerca Zinc. 3/8&quot;"/>
        <s v="Tuerca Zinc. 5/16&quot;"/>
        <s v="Lysoform"/>
        <s v="Bolsas 50x70"/>
        <s v="Bolsas 80x110"/>
        <s v="Esponjas"/>
        <s v="Desodorante p/piso Lavanda"/>
        <s v="Guantes de limpieza (Talle L)"/>
        <s v="Jabón líquido"/>
        <s v="Detergente"/>
        <s v="Rejilla"/>
        <s v="Trapo de piso"/>
        <s v="Saphirus "/>
        <s v="Esponja tipo patito"/>
        <s v="EU-250"/>
        <s v="EU-300"/>
        <s v="Pallets"/>
        <s v="Stretch 50 cm C/Mango"/>
        <s v="Precintos 450 x 10"/>
        <s v="Casco S/Arnes Blanco"/>
        <s v="Arnes P/Casco"/>
        <s v="Tubo de Oxígeno"/>
        <s v="Tacos 1 1/2&quot; x 4&quot; x 1100mm"/>
        <s v="Sierra"/>
        <s v="Hoja de Sierra P/Serrucho  L2450mm"/>
        <s v="Cadena Calibrada"/>
        <s v="Tacos  1 1/2&quot; x 3&quot; x 1130mm"/>
        <s v="Tacos 2&quot; x 2 1/2&quot; x 640mm"/>
        <s v="Varilla Roscada Zinc. 1/4&quot;"/>
        <s v="Varilla Roscada Zinc. 5/16&quot;"/>
        <s v="Lente máscara de soldar"/>
        <s v="Precintos 500 x 10"/>
        <s v="PLANCHUELA 1 X 1/2 X 3/16"/>
        <s v="ANGULO 1&quot; 1/4 X 1/8 x kg"/>
        <s v="HIERRO T 1&quot; 1/4 X 1/8"/>
        <s v="Plancha cartón separador"/>
        <s v="Artículos de librería - Varios"/>
        <s v="Rollo pluribol"/>
        <s v="Cerrojo 210"/>
        <s v="Bolsas Tubos x 100 mic"/>
        <s v="GALVA 1220 X 2440 3,2"/>
        <s v="Varilla Roscada Zinc. 3/8&quot;"/>
        <s v="Telgopor 50x50x450"/>
        <s v="Telgopor 50x50x600"/>
        <s v="Disco de Corte 115 mm"/>
        <s v="Costo de envío + seguro"/>
        <s v="Pintura Amarillo 04 - 1 l"/>
        <s v="Grampa Olmar 19"/>
        <s v="Grampa Olmar 26"/>
        <s v="Grampa Chaveta 19 (3/4&quot;)"/>
        <s v="Grampa Media Omega 3/4&quot;"/>
        <s v="Grampa Omega 3/4&quot;"/>
        <s v="Grampa Omega 1&quot;"/>
        <s v="Zapato Ombú prusiano"/>
        <s v="Toner 217 AC"/>
        <s v="Toner 510 A"/>
        <s v="Precintos 250 x 10"/>
        <s v="Stretch 10 cm Negro"/>
        <s v="Pantalón cargo Grafa"/>
        <s v="Alcohol 96%"/>
        <s v="Tacho de basura"/>
        <s v="Lunares 15mm (Azul)"/>
        <s v="Lunares 15mm (Negro)"/>
        <s v="Etiquetas Dobles  50x29 (embalaje)"/>
        <s v="Etiquetas 30mm cuadrado (Verde)"/>
        <s v="Etiquetas DK 2205 (Fleje)"/>
        <s v="Zuncho Verde 19mm"/>
        <s v="Pilas AAA"/>
        <s v="Pilas AA"/>
        <s v="Fibrón p/pizarra"/>
        <s v="Cartón corrugado"/>
        <s v="Lubricantes Aerosol"/>
        <s v="Tacos 1 1/2&quot; x 3&quot; x 300mm"/>
        <s v="Clavos 4&quot;"/>
        <s v="Tuerca Cupla 1/4&quot;"/>
        <s v="Broca 1/4&quot;"/>
        <s v="Broca 3/8&quot;"/>
        <s v="Broca 5/16&quot;"/>
        <s v="Anteojos  Seguridad"/>
        <s v="Guantes Vaqueta Largos"/>
        <s v="EU-150"/>
        <s v="EU-200"/>
        <s v="Cinta Metrica 3 mts"/>
        <s v="Cinta Metrica 5 mts"/>
        <s v="Cinta Metrica 10 mts"/>
        <s v="Pantalón cargo ombú "/>
        <s v="Faja Lumbar TALLE M"/>
        <s v="Bolsas de Arpillera 100 x 60"/>
        <s v="Tobera MB25 (Herrería)"/>
        <s v="Tijera corta chapa"/>
        <s v="Cuaderno A4"/>
        <s v="Broche mit 10"/>
        <s v="Tijera de papel"/>
        <s v="Lapicera económica"/>
        <s v="Camisa Grafa"/>
        <s v="Sobres 14x21"/>
        <s v="Tor. Traba 3/8&quot;"/>
        <s v="Lavandina Líquida"/>
        <s v="Escobillones"/>
        <m/>
        <s v="Papel Higiénico x 200m " u="1"/>
        <s v="Toalla de mano en rollo" u="1"/>
        <s v="Precinto 250x4,8" u="1"/>
        <s v="Precinto 450x7,6" u="1"/>
        <s v="Precinto 500x7,6" u="1"/>
        <s v="Tacos 1 1/2&quot; x 3&quot; x 1130mm" u="1"/>
        <s v="Tacos 2&quot; x 2 1/2 x 640mm" u="1"/>
        <s v="Zapato Ombú T42" u="1"/>
        <s v="Pantalón cargo ombú T40" u="1"/>
        <s v="Pantalón cargo ombú T42" u="1"/>
        <s v="Pantalón cargo ombú T44" u="1"/>
        <s v="Pantalón cargo ombú T46" u="1"/>
        <s v="Pantalón cargo ombú T52" u="1"/>
        <s v="Pantalón cargo ombú T54" u="1"/>
      </sharedItems>
    </cacheField>
    <cacheField name="Rubro" numFmtId="0">
      <sharedItems containsBlank="1" containsMixedTypes="1" containsNumber="1" containsInteger="1" minValue="0" maxValue="0" count="14">
        <s v="Embalaje"/>
        <s v="Librería"/>
        <s v="Reventa"/>
        <s v="Soldadura"/>
        <s v="Limpieza"/>
        <s v="EPP"/>
        <s v="Servicio"/>
        <s v="Herramientas"/>
        <s v="Materia Prima"/>
        <s v="Envío"/>
        <s v="Pintura"/>
        <s v="Lubricantes"/>
        <n v="0"/>
        <m/>
      </sharedItems>
    </cacheField>
    <cacheField name="Proveedor" numFmtId="0">
      <sharedItems containsBlank="1"/>
    </cacheField>
    <cacheField name="Cantidad" numFmtId="0">
      <sharedItems containsString="0" containsBlank="1" containsNumber="1" minValue="1" maxValue="100800"/>
    </cacheField>
    <cacheField name="Unidad" numFmtId="0">
      <sharedItems containsBlank="1"/>
    </cacheField>
    <cacheField name="Precio Unitario ARS" numFmtId="0">
      <sharedItems containsString="0" containsBlank="1" containsNumber="1" minValue="12.5" maxValue="256000"/>
    </cacheField>
    <cacheField name="Precio Unitario USD" numFmtId="0">
      <sharedItems containsBlank="1" containsMixedTypes="1" containsNumber="1" minValue="8.3056478405315621E-3" maxValue="176.55172413793105"/>
    </cacheField>
    <cacheField name="DTO" numFmtId="0">
      <sharedItems containsString="0" containsBlank="1" containsNumber="1" minValue="0" maxValue="0.4"/>
    </cacheField>
    <cacheField name="Moneda" numFmtId="0">
      <sharedItems containsBlank="1"/>
    </cacheField>
    <cacheField name="IVA" numFmtId="9">
      <sharedItems containsString="0" containsBlank="1" containsNumber="1" minValue="0" maxValue="0.21"/>
    </cacheField>
    <cacheField name="Subtotal ARS" numFmtId="0">
      <sharedItems containsString="0" containsBlank="1" containsNumber="1" minValue="0" maxValue="9722624.2799999993"/>
    </cacheField>
    <cacheField name="TOTAL ARS" numFmtId="0">
      <sharedItems containsString="0" containsBlank="1" containsNumber="1" minValue="0" maxValue="11764375.378799999"/>
    </cacheField>
    <cacheField name="TOTAL USD" numFmtId="0">
      <sharedItems containsBlank="1" containsMixedTypes="1" containsNumber="1" minValue="0.52006039603960397" maxValue="8113.3623302068963"/>
    </cacheField>
    <cacheField name="TC BNA" numFmtId="0">
      <sharedItems containsString="0" containsBlank="1" containsNumber="1" containsInteger="1" minValue="0" maxValue="1520"/>
    </cacheField>
    <cacheField name="Observacion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5">
  <r>
    <x v="0"/>
    <x v="0"/>
    <x v="0"/>
    <s v="Embalaje"/>
    <x v="0"/>
    <n v="185"/>
    <s v="kg"/>
    <n v="4528"/>
    <n v="3.222775800711744"/>
    <n v="0"/>
    <s v="ARS"/>
    <n v="0.21"/>
    <n v="837680"/>
    <n v="1013592.8"/>
    <n v="721.4183629893239"/>
    <n v="1405"/>
    <m/>
  </r>
  <r>
    <x v="1"/>
    <x v="0"/>
    <x v="1"/>
    <s v="Librería"/>
    <x v="1"/>
    <n v="10"/>
    <s v="unidad"/>
    <n v="5900"/>
    <n v="4.154929577464789"/>
    <n v="0"/>
    <s v="ARS"/>
    <n v="0.21"/>
    <n v="59000"/>
    <n v="71390"/>
    <n v="50.274647887323944"/>
    <n v="1420"/>
    <m/>
  </r>
  <r>
    <x v="1"/>
    <x v="0"/>
    <x v="2"/>
    <s v="Librería"/>
    <x v="1"/>
    <n v="4"/>
    <s v="unidad"/>
    <n v="15225"/>
    <n v="10.721830985915492"/>
    <n v="0.15"/>
    <s v="ARS"/>
    <n v="0.21"/>
    <n v="51765"/>
    <n v="62635.65"/>
    <n v="44.109612676056337"/>
    <n v="1420"/>
    <m/>
  </r>
  <r>
    <x v="2"/>
    <x v="0"/>
    <x v="3"/>
    <s v="Reventa"/>
    <x v="2"/>
    <n v="100800"/>
    <s v="unidad"/>
    <n v="18.783760000000001"/>
    <n v="1.332181560283688E-2"/>
    <n v="0.15379999999999999"/>
    <s v="ARS"/>
    <n v="0.21"/>
    <n v="1602197.6253696003"/>
    <n v="1938659.1266972162"/>
    <n v="1374.9355508490894"/>
    <n v="1410"/>
    <m/>
  </r>
  <r>
    <x v="2"/>
    <x v="0"/>
    <x v="4"/>
    <s v="Reventa"/>
    <x v="2"/>
    <n v="30800"/>
    <s v="unidad"/>
    <n v="38.913679999999999"/>
    <n v="2.7598354609929078E-2"/>
    <n v="0.15379999999999999"/>
    <s v="ARS"/>
    <n v="0.21"/>
    <n v="1014205.6852928001"/>
    <n v="1227188.8792042881"/>
    <n v="870.34672283992063"/>
    <n v="1410"/>
    <m/>
  </r>
  <r>
    <x v="2"/>
    <x v="0"/>
    <x v="5"/>
    <s v="Soldadura"/>
    <x v="3"/>
    <n v="30"/>
    <s v="m3"/>
    <n v="17500"/>
    <n v="12.411347517730496"/>
    <n v="0"/>
    <s v="ARS"/>
    <m/>
    <n v="525000"/>
    <n v="525000"/>
    <n v="372.34042553191489"/>
    <n v="1410"/>
    <m/>
  </r>
  <r>
    <x v="2"/>
    <x v="0"/>
    <x v="6"/>
    <s v="Soldadura"/>
    <x v="3"/>
    <n v="1"/>
    <s v="rollo"/>
    <n v="80000"/>
    <n v="56.737588652482266"/>
    <n v="0"/>
    <s v="ARS"/>
    <m/>
    <n v="80000"/>
    <n v="80000"/>
    <n v="56.737588652482266"/>
    <n v="1410"/>
    <m/>
  </r>
  <r>
    <x v="3"/>
    <x v="0"/>
    <x v="7"/>
    <s v="Limpieza"/>
    <x v="4"/>
    <n v="8"/>
    <s v="bolsa"/>
    <n v="7300"/>
    <n v="5.1228070175438596"/>
    <n v="0"/>
    <s v="ARS"/>
    <m/>
    <n v="58400"/>
    <n v="58400"/>
    <n v="40.982456140350877"/>
    <n v="1425"/>
    <m/>
  </r>
  <r>
    <x v="3"/>
    <x v="0"/>
    <x v="8"/>
    <s v="Limpieza"/>
    <x v="4"/>
    <n v="7"/>
    <s v="bolsa"/>
    <n v="9900"/>
    <n v="6.9473684210526319"/>
    <n v="0"/>
    <s v="ARS"/>
    <m/>
    <n v="69300"/>
    <n v="69300"/>
    <n v="48.631578947368418"/>
    <n v="1425"/>
    <m/>
  </r>
  <r>
    <x v="3"/>
    <x v="0"/>
    <x v="9"/>
    <s v="EPP"/>
    <x v="5"/>
    <n v="24"/>
    <s v="par"/>
    <n v="600"/>
    <n v="0.42105263157894735"/>
    <n v="0"/>
    <s v="ARS"/>
    <n v="0.21"/>
    <n v="14400"/>
    <n v="17424"/>
    <n v="12.227368421052631"/>
    <n v="1425"/>
    <m/>
  </r>
  <r>
    <x v="3"/>
    <x v="0"/>
    <x v="10"/>
    <s v="EPP"/>
    <x v="5"/>
    <n v="24"/>
    <s v="par"/>
    <n v="600"/>
    <n v="0.42105263157894735"/>
    <n v="0"/>
    <s v="ARS"/>
    <n v="0.21"/>
    <n v="14400"/>
    <n v="17424"/>
    <n v="12.227368421052631"/>
    <n v="1425"/>
    <m/>
  </r>
  <r>
    <x v="3"/>
    <x v="0"/>
    <x v="11"/>
    <s v="EPP"/>
    <x v="5"/>
    <n v="12"/>
    <s v="par"/>
    <n v="4295"/>
    <n v="3.0140350877192983"/>
    <n v="0"/>
    <s v="ARS"/>
    <n v="0.21"/>
    <n v="51540"/>
    <n v="62363.4"/>
    <n v="43.763789473684213"/>
    <n v="1425"/>
    <m/>
  </r>
  <r>
    <x v="4"/>
    <x v="0"/>
    <x v="12"/>
    <s v="Reventa"/>
    <x v="6"/>
    <n v="63.5"/>
    <s v="kg"/>
    <n v="4800"/>
    <n v="3.3566433566433567"/>
    <n v="0"/>
    <s v="ARS"/>
    <n v="0.21"/>
    <n v="304800"/>
    <n v="368808"/>
    <n v="257.90769230769229"/>
    <n v="1430"/>
    <m/>
  </r>
  <r>
    <x v="4"/>
    <x v="0"/>
    <x v="13"/>
    <s v="Reventa"/>
    <x v="6"/>
    <n v="50"/>
    <s v="kg"/>
    <n v="4185"/>
    <n v="2.9265734265734267"/>
    <n v="0"/>
    <s v="ARS"/>
    <n v="0.21"/>
    <n v="209250"/>
    <n v="253192.5"/>
    <n v="177.05769230769232"/>
    <n v="1430"/>
    <m/>
  </r>
  <r>
    <x v="4"/>
    <x v="0"/>
    <x v="14"/>
    <s v="Reventa"/>
    <x v="6"/>
    <n v="35"/>
    <s v="kg"/>
    <n v="4890"/>
    <n v="3.4195804195804196"/>
    <n v="0"/>
    <s v="ARS"/>
    <n v="0.21"/>
    <n v="171150"/>
    <n v="207091.5"/>
    <n v="144.81923076923076"/>
    <n v="1430"/>
    <m/>
  </r>
  <r>
    <x v="4"/>
    <x v="0"/>
    <x v="15"/>
    <s v="Reventa"/>
    <x v="6"/>
    <n v="10000"/>
    <s v="unidad"/>
    <n v="29.2"/>
    <n v="2.0419580419580419E-2"/>
    <n v="0"/>
    <s v="ARS"/>
    <n v="0.21"/>
    <n v="292000"/>
    <n v="353320"/>
    <n v="247.07692307692307"/>
    <n v="1430"/>
    <m/>
  </r>
  <r>
    <x v="4"/>
    <x v="0"/>
    <x v="16"/>
    <s v="Reventa"/>
    <x v="6"/>
    <n v="60000"/>
    <s v="unidad"/>
    <n v="27.97"/>
    <n v="1.9559440559440557E-2"/>
    <n v="0"/>
    <s v="ARS"/>
    <n v="0.21"/>
    <n v="1678200"/>
    <n v="2030622"/>
    <n v="1420.0153846153846"/>
    <n v="1430"/>
    <m/>
  </r>
  <r>
    <x v="4"/>
    <x v="0"/>
    <x v="17"/>
    <s v="Reventa"/>
    <x v="6"/>
    <n v="20000"/>
    <s v="unidad"/>
    <n v="12.5"/>
    <n v="8.7412587412587419E-3"/>
    <n v="0"/>
    <s v="ARS"/>
    <n v="0.21"/>
    <n v="250000"/>
    <n v="302500"/>
    <n v="211.53846153846155"/>
    <n v="1430"/>
    <m/>
  </r>
  <r>
    <x v="4"/>
    <x v="0"/>
    <x v="18"/>
    <s v="Reventa"/>
    <x v="6"/>
    <n v="6800"/>
    <s v="unidad"/>
    <n v="26"/>
    <n v="1.8181818181818181E-2"/>
    <n v="0"/>
    <s v="ARS"/>
    <n v="0.21"/>
    <n v="176800"/>
    <n v="213928"/>
    <n v="149.6"/>
    <n v="1430"/>
    <m/>
  </r>
  <r>
    <x v="4"/>
    <x v="0"/>
    <x v="19"/>
    <s v="Reventa"/>
    <x v="6"/>
    <n v="6000"/>
    <s v="unidad"/>
    <n v="18.600000000000001"/>
    <n v="1.3006993006993008E-2"/>
    <n v="0"/>
    <s v="ARS"/>
    <n v="0.21"/>
    <n v="111600.00000000001"/>
    <n v="135036.00000000003"/>
    <n v="94.430769230769258"/>
    <n v="1430"/>
    <m/>
  </r>
  <r>
    <x v="4"/>
    <x v="0"/>
    <x v="20"/>
    <s v="Limpieza"/>
    <x v="7"/>
    <n v="10"/>
    <s v="unidad"/>
    <n v="3619.83"/>
    <n v="2.5313496503496502"/>
    <n v="0"/>
    <s v="ARS"/>
    <n v="0.21"/>
    <n v="36198.300000000003"/>
    <n v="43799.942999999999"/>
    <n v="30.629330769230769"/>
    <n v="1430"/>
    <m/>
  </r>
  <r>
    <x v="4"/>
    <x v="0"/>
    <x v="21"/>
    <s v="Limpieza"/>
    <x v="7"/>
    <n v="130"/>
    <s v="unidad"/>
    <n v="61.157000000000004"/>
    <n v="4.2767132867132872E-2"/>
    <n v="0"/>
    <s v="ARS"/>
    <n v="0.21"/>
    <n v="7950.4100000000008"/>
    <n v="9619.9961000000003"/>
    <n v="6.7272699999999999"/>
    <n v="1430"/>
    <m/>
  </r>
  <r>
    <x v="4"/>
    <x v="0"/>
    <x v="22"/>
    <s v="Limpieza"/>
    <x v="7"/>
    <n v="110"/>
    <s v="unidad"/>
    <n v="187.60300000000001"/>
    <n v="0.13119090909090911"/>
    <n v="0"/>
    <s v="ARS"/>
    <n v="0.21"/>
    <n v="20636.330000000002"/>
    <n v="24969.959300000002"/>
    <n v="17.461510000000001"/>
    <n v="1430"/>
    <m/>
  </r>
  <r>
    <x v="4"/>
    <x v="0"/>
    <x v="23"/>
    <s v="Limpieza"/>
    <x v="7"/>
    <n v="6"/>
    <s v="unidad"/>
    <n v="520.66"/>
    <n v="0.36409790209790205"/>
    <n v="0"/>
    <s v="ARS"/>
    <n v="0.21"/>
    <n v="3123.96"/>
    <n v="3779.9916000000003"/>
    <n v="2.6433507692307696"/>
    <n v="1430"/>
    <m/>
  </r>
  <r>
    <x v="4"/>
    <x v="0"/>
    <x v="24"/>
    <s v="Limpieza"/>
    <x v="7"/>
    <n v="5"/>
    <s v="litro"/>
    <n v="561.98199999999997"/>
    <n v="0.39299440559440557"/>
    <n v="0"/>
    <s v="ARS"/>
    <n v="0.21"/>
    <n v="2809.91"/>
    <n v="3399.9910999999997"/>
    <n v="2.3776161538461538"/>
    <n v="1430"/>
    <m/>
  </r>
  <r>
    <x v="4"/>
    <x v="0"/>
    <x v="25"/>
    <s v="Limpieza"/>
    <x v="7"/>
    <n v="1"/>
    <s v="unidad"/>
    <n v="2917.35"/>
    <n v="2.040104895104895"/>
    <n v="0"/>
    <s v="ARS"/>
    <n v="0.21"/>
    <n v="2917.35"/>
    <n v="3529.9934999999996"/>
    <n v="2.4685269230769227"/>
    <n v="1430"/>
    <m/>
  </r>
  <r>
    <x v="4"/>
    <x v="0"/>
    <x v="26"/>
    <s v="Limpieza"/>
    <x v="7"/>
    <n v="5"/>
    <s v="litro"/>
    <n v="1692.56"/>
    <n v="1.1836083916083915"/>
    <n v="0"/>
    <s v="ARS"/>
    <n v="0.21"/>
    <n v="8462.7999999999993"/>
    <n v="10239.987999999999"/>
    <n v="7.1608307692307687"/>
    <n v="1430"/>
    <m/>
  </r>
  <r>
    <x v="4"/>
    <x v="0"/>
    <x v="27"/>
    <s v="Limpieza"/>
    <x v="7"/>
    <n v="5"/>
    <s v="litro"/>
    <n v="1647.932"/>
    <n v="1.1524000000000001"/>
    <n v="0"/>
    <s v="ARS"/>
    <n v="0.21"/>
    <n v="8239.66"/>
    <n v="9969.9886000000006"/>
    <n v="6.9720200000000006"/>
    <n v="1430"/>
    <m/>
  </r>
  <r>
    <x v="4"/>
    <x v="0"/>
    <x v="28"/>
    <s v="Limpieza"/>
    <x v="7"/>
    <n v="2"/>
    <s v="unidad"/>
    <n v="710.74"/>
    <n v="0.49702097902097903"/>
    <n v="0"/>
    <s v="ARS"/>
    <n v="0.21"/>
    <n v="1421.48"/>
    <n v="1719.9908"/>
    <n v="1.2027907692307693"/>
    <n v="1430"/>
    <m/>
  </r>
  <r>
    <x v="4"/>
    <x v="0"/>
    <x v="29"/>
    <s v="Limpieza"/>
    <x v="7"/>
    <n v="4"/>
    <s v="unidad"/>
    <n v="1661.15"/>
    <n v="1.1616433566433566"/>
    <n v="0"/>
    <s v="ARS"/>
    <n v="0.21"/>
    <n v="6644.6"/>
    <n v="8039.9660000000003"/>
    <n v="5.622353846153846"/>
    <n v="1430"/>
    <m/>
  </r>
  <r>
    <x v="4"/>
    <x v="0"/>
    <x v="30"/>
    <s v="Limpieza"/>
    <x v="7"/>
    <n v="7"/>
    <s v="unidad"/>
    <n v="4818.18"/>
    <n v="3.3693566433566438"/>
    <n v="0"/>
    <s v="ARS"/>
    <n v="0.21"/>
    <n v="33727.26"/>
    <n v="40809.984600000003"/>
    <n v="28.538450769230771"/>
    <n v="1430"/>
    <m/>
  </r>
  <r>
    <x v="4"/>
    <x v="0"/>
    <x v="31"/>
    <s v="Limpieza"/>
    <x v="7"/>
    <n v="2"/>
    <s v="unidad"/>
    <n v="719"/>
    <n v="0.50279720279720275"/>
    <n v="0"/>
    <s v="ARS"/>
    <n v="0.21"/>
    <n v="1438"/>
    <n v="1739.98"/>
    <n v="1.2167692307692308"/>
    <n v="1430"/>
    <m/>
  </r>
  <r>
    <x v="5"/>
    <x v="0"/>
    <x v="32"/>
    <s v=""/>
    <x v="8"/>
    <n v="726"/>
    <s v="unidad"/>
    <n v="517"/>
    <n v="0.36153846153846153"/>
    <n v="0"/>
    <s v="ARS"/>
    <m/>
    <n v="375342"/>
    <n v="375342"/>
    <n v="262.47692307692307"/>
    <n v="1430"/>
    <m/>
  </r>
  <r>
    <x v="5"/>
    <x v="0"/>
    <x v="33"/>
    <s v=""/>
    <x v="8"/>
    <n v="1800"/>
    <s v="unidad"/>
    <n v="620"/>
    <n v="0.43356643356643354"/>
    <n v="0"/>
    <s v="ARS"/>
    <m/>
    <n v="1116000"/>
    <n v="1116000"/>
    <n v="780.41958041958037"/>
    <n v="1430"/>
    <m/>
  </r>
  <r>
    <x v="6"/>
    <x v="0"/>
    <x v="34"/>
    <s v="Embalaje"/>
    <x v="9"/>
    <n v="20"/>
    <s v="unidad"/>
    <n v="6500"/>
    <n v="4.5454545454545459"/>
    <n v="0"/>
    <s v="ARS"/>
    <n v="0.21"/>
    <n v="130000"/>
    <n v="157300"/>
    <n v="110"/>
    <n v="1430"/>
    <m/>
  </r>
  <r>
    <x v="6"/>
    <x v="0"/>
    <x v="0"/>
    <s v="Embalaje"/>
    <x v="0"/>
    <n v="187"/>
    <s v="kg"/>
    <n v="4592"/>
    <n v="3.2111888111888112"/>
    <n v="0"/>
    <s v="ARS"/>
    <n v="0.21"/>
    <n v="858704"/>
    <n v="1039031.84"/>
    <n v="726.59569230769227"/>
    <n v="1430"/>
    <s v="Tomaron TC 1435"/>
  </r>
  <r>
    <x v="6"/>
    <x v="0"/>
    <x v="35"/>
    <s v="Embalaje"/>
    <x v="0"/>
    <n v="31"/>
    <s v="kg"/>
    <n v="4547.6000000000004"/>
    <n v="3.1801398601398603"/>
    <n v="0"/>
    <s v="ARS"/>
    <n v="0.21"/>
    <n v="140975.6"/>
    <n v="170580.476"/>
    <n v="119.28704615384615"/>
    <n v="1430"/>
    <m/>
  </r>
  <r>
    <x v="6"/>
    <x v="0"/>
    <x v="36"/>
    <s v="Embalaje"/>
    <x v="10"/>
    <n v="20"/>
    <s v="bolsa"/>
    <n v="22056.94"/>
    <n v="15.424433566433565"/>
    <n v="0.4"/>
    <s v="ARS"/>
    <n v="0.21"/>
    <n v="264683.27999999997"/>
    <n v="320266.76879999996"/>
    <n v="223.96277538461536"/>
    <n v="1430"/>
    <m/>
  </r>
  <r>
    <x v="6"/>
    <x v="0"/>
    <x v="37"/>
    <s v="EPP"/>
    <x v="11"/>
    <n v="2"/>
    <s v="unidad"/>
    <n v="3961.1"/>
    <n v="2.77"/>
    <n v="0"/>
    <s v="ARS"/>
    <n v="0.21"/>
    <n v="7922.2"/>
    <n v="9585.8619999999992"/>
    <n v="6.7033999999999994"/>
    <n v="1430"/>
    <m/>
  </r>
  <r>
    <x v="6"/>
    <x v="0"/>
    <x v="38"/>
    <s v="EPP"/>
    <x v="11"/>
    <n v="2"/>
    <s v="unidad"/>
    <n v="6306.3"/>
    <n v="4.41"/>
    <n v="0"/>
    <s v="ARS"/>
    <n v="0.21"/>
    <n v="12612.6"/>
    <n v="15261.246000000001"/>
    <n v="10.6722"/>
    <n v="1430"/>
    <m/>
  </r>
  <r>
    <x v="7"/>
    <x v="0"/>
    <x v="5"/>
    <s v="Soldadura"/>
    <x v="3"/>
    <n v="10"/>
    <s v="m3"/>
    <n v="17500"/>
    <n v="12.237762237762238"/>
    <n v="0"/>
    <s v="ARS"/>
    <m/>
    <n v="175000"/>
    <n v="175000"/>
    <n v="122.37762237762237"/>
    <n v="1430"/>
    <m/>
  </r>
  <r>
    <x v="7"/>
    <x v="0"/>
    <x v="6"/>
    <s v="Soldadura"/>
    <x v="3"/>
    <n v="2"/>
    <s v="rollo"/>
    <n v="80000"/>
    <n v="55.944055944055947"/>
    <n v="0"/>
    <s v="ARS"/>
    <m/>
    <n v="160000"/>
    <n v="160000"/>
    <n v="111.88811188811189"/>
    <n v="1430"/>
    <m/>
  </r>
  <r>
    <x v="8"/>
    <x v="1"/>
    <x v="32"/>
    <s v=""/>
    <x v="8"/>
    <n v="726"/>
    <s v="unidad"/>
    <n v="517"/>
    <n v="0.35778546712802767"/>
    <n v="0"/>
    <s v="ARS"/>
    <m/>
    <n v="375342"/>
    <n v="375342"/>
    <n v="259.7522491349481"/>
    <n v="1445"/>
    <s v="NC"/>
  </r>
  <r>
    <x v="9"/>
    <x v="1"/>
    <x v="39"/>
    <s v="Soldadura"/>
    <x v="3"/>
    <n v="30"/>
    <s v="m3"/>
    <n v="4500"/>
    <n v="3.103448275862069"/>
    <n v="0"/>
    <s v="ARS"/>
    <m/>
    <n v="135000"/>
    <n v="135000"/>
    <n v="93.103448275862064"/>
    <n v="1450"/>
    <m/>
  </r>
  <r>
    <x v="9"/>
    <x v="1"/>
    <x v="11"/>
    <s v="EPP"/>
    <x v="11"/>
    <n v="24"/>
    <s v="par"/>
    <n v="4147"/>
    <n v="2.86"/>
    <n v="0"/>
    <s v="ARS"/>
    <n v="0.21"/>
    <n v="99528"/>
    <n v="120428.88"/>
    <n v="83.054400000000001"/>
    <n v="1450"/>
    <m/>
  </r>
  <r>
    <x v="10"/>
    <x v="1"/>
    <x v="9"/>
    <s v="EPP"/>
    <x v="5"/>
    <n v="24"/>
    <s v="par"/>
    <n v="637"/>
    <n v="0.43630136986301371"/>
    <n v="0"/>
    <s v="ARS"/>
    <n v="0.21"/>
    <n v="15288"/>
    <n v="18498.48"/>
    <n v="12.670191780821918"/>
    <n v="1460"/>
    <m/>
  </r>
  <r>
    <x v="10"/>
    <x v="1"/>
    <x v="10"/>
    <s v="EPP"/>
    <x v="5"/>
    <n v="24"/>
    <s v="par"/>
    <n v="637"/>
    <n v="0.43630136986301371"/>
    <n v="0"/>
    <s v="ARS"/>
    <n v="0.21"/>
    <n v="15288"/>
    <n v="18498.48"/>
    <n v="12.670191780821918"/>
    <n v="1460"/>
    <m/>
  </r>
  <r>
    <x v="10"/>
    <x v="1"/>
    <x v="40"/>
    <s v="Embalaje"/>
    <x v="12"/>
    <n v="400"/>
    <s v="unidad"/>
    <n v="1659.6636000000001"/>
    <n v="1.1367558904109589"/>
    <n v="0.1"/>
    <s v="ARS"/>
    <n v="0.21"/>
    <n v="597478.89599999995"/>
    <n v="722949.46415999997"/>
    <n v="495.17086586301366"/>
    <n v="1460"/>
    <s v="Para Guillón"/>
  </r>
  <r>
    <x v="10"/>
    <x v="1"/>
    <x v="41"/>
    <s v="Herramientas"/>
    <x v="13"/>
    <n v="2"/>
    <s v="unidad"/>
    <n v="28000"/>
    <n v="19.17808219178082"/>
    <n v="0.1"/>
    <s v="ARS"/>
    <n v="0.21"/>
    <n v="50400"/>
    <n v="60984"/>
    <n v="41.769863013698632"/>
    <n v="1460"/>
    <m/>
  </r>
  <r>
    <x v="10"/>
    <x v="1"/>
    <x v="42"/>
    <s v="Herramientas"/>
    <x v="13"/>
    <n v="1"/>
    <s v="unidad"/>
    <n v="59500"/>
    <n v="40.753424657534246"/>
    <n v="0"/>
    <s v="ARS"/>
    <n v="0.21"/>
    <n v="59500"/>
    <n v="71995"/>
    <n v="49.311643835616437"/>
    <n v="1460"/>
    <m/>
  </r>
  <r>
    <x v="11"/>
    <x v="1"/>
    <x v="43"/>
    <s v="Materia Prima"/>
    <x v="14"/>
    <n v="400"/>
    <s v="m"/>
    <n v="2170"/>
    <n v="1.4863013698630136"/>
    <n v="0"/>
    <s v="ARS"/>
    <n v="0.21"/>
    <n v="868000"/>
    <n v="1050280"/>
    <n v="719.36986301369859"/>
    <n v="1460"/>
    <m/>
  </r>
  <r>
    <x v="11"/>
    <x v="1"/>
    <x v="44"/>
    <s v="Embalaje"/>
    <x v="12"/>
    <n v="300"/>
    <s v="unidad"/>
    <n v="1151.7874999999999"/>
    <n v="0.78889554794520544"/>
    <n v="0.1"/>
    <s v="ARS"/>
    <n v="0.21"/>
    <n v="310982.62499999994"/>
    <n v="376288.97624999995"/>
    <n v="257.73217551369862"/>
    <n v="1460"/>
    <m/>
  </r>
  <r>
    <x v="11"/>
    <x v="1"/>
    <x v="45"/>
    <s v="Embalaje"/>
    <x v="12"/>
    <n v="200"/>
    <s v="unidad"/>
    <n v="814.51900000000001"/>
    <n v="0.55788972602739728"/>
    <n v="0.1"/>
    <s v="ARS"/>
    <n v="0.21"/>
    <n v="146613.41999999998"/>
    <n v="177402.23819999996"/>
    <n v="121.5083823287671"/>
    <n v="1460"/>
    <m/>
  </r>
  <r>
    <x v="11"/>
    <x v="1"/>
    <x v="46"/>
    <s v="Reventa"/>
    <x v="15"/>
    <n v="1000"/>
    <s v="unidad"/>
    <n v="450"/>
    <n v="0.30821917808219179"/>
    <n v="0"/>
    <s v="ARS"/>
    <n v="0.21"/>
    <n v="450000"/>
    <n v="544500"/>
    <n v="372.94520547945206"/>
    <n v="1460"/>
    <m/>
  </r>
  <r>
    <x v="11"/>
    <x v="1"/>
    <x v="47"/>
    <s v="Reventa"/>
    <x v="15"/>
    <n v="1500"/>
    <s v="unidad"/>
    <n v="717"/>
    <n v="0.49109589041095891"/>
    <n v="0"/>
    <s v="ARS"/>
    <n v="0.21"/>
    <n v="1075500"/>
    <n v="1301355"/>
    <n v="891.33904109589037"/>
    <n v="1460"/>
    <m/>
  </r>
  <r>
    <x v="12"/>
    <x v="1"/>
    <x v="48"/>
    <s v="Soldadura"/>
    <x v="16"/>
    <n v="7"/>
    <s v="unidad"/>
    <n v="3212"/>
    <n v="2.1924914675767919"/>
    <n v="0"/>
    <s v="ARS"/>
    <n v="0.21"/>
    <n v="22484"/>
    <n v="27205.64"/>
    <n v="18.570402730375427"/>
    <n v="1465"/>
    <m/>
  </r>
  <r>
    <x v="12"/>
    <x v="1"/>
    <x v="3"/>
    <s v="Reventa"/>
    <x v="2"/>
    <n v="100800"/>
    <s v="unidad"/>
    <n v="19.379020000000001"/>
    <n v="1.3228E-2"/>
    <n v="0.15379999999999999"/>
    <s v="ARS"/>
    <n v="0.21"/>
    <n v="1652971.4937791999"/>
    <n v="2000095.5074728318"/>
    <n v="1365.2529061247999"/>
    <n v="1465"/>
    <m/>
  </r>
  <r>
    <x v="13"/>
    <x v="1"/>
    <x v="36"/>
    <s v="Embalaje"/>
    <x v="10"/>
    <n v="12"/>
    <s v="bolsa"/>
    <n v="22056.94"/>
    <n v="15.107493150684931"/>
    <n v="0.4"/>
    <s v="ARS"/>
    <n v="0.21"/>
    <n v="158809.96799999999"/>
    <n v="192160.06127999999"/>
    <n v="131.61648032876712"/>
    <n v="1460"/>
    <m/>
  </r>
  <r>
    <x v="13"/>
    <x v="1"/>
    <x v="49"/>
    <s v="Embalaje"/>
    <x v="10"/>
    <n v="5"/>
    <s v="bolsa"/>
    <n v="27888.080000000002"/>
    <n v="19.101424657534249"/>
    <n v="0.4"/>
    <s v="ARS"/>
    <n v="0.21"/>
    <n v="83664.239999999991"/>
    <n v="101233.73039999999"/>
    <n v="69.338171506849307"/>
    <n v="1460"/>
    <m/>
  </r>
  <r>
    <x v="13"/>
    <x v="1"/>
    <x v="36"/>
    <s v="Embalaje"/>
    <x v="10"/>
    <n v="8"/>
    <s v="bolsa"/>
    <n v="22056.94"/>
    <n v="15.107493150684931"/>
    <n v="0.4"/>
    <s v="ARS"/>
    <n v="0.21"/>
    <n v="105873.31199999999"/>
    <n v="128106.70752"/>
    <n v="87.744320219178078"/>
    <n v="1460"/>
    <m/>
  </r>
  <r>
    <x v="13"/>
    <x v="1"/>
    <x v="50"/>
    <s v="Materia Prima"/>
    <x v="17"/>
    <n v="1000"/>
    <s v="kg"/>
    <n v="1748.9"/>
    <n v="1.1978767123287672"/>
    <n v="0"/>
    <s v="ARS"/>
    <n v="0.21"/>
    <n v="1748900"/>
    <n v="2116169"/>
    <n v="1449.4308219178083"/>
    <n v="1460"/>
    <m/>
  </r>
  <r>
    <x v="13"/>
    <x v="1"/>
    <x v="51"/>
    <s v="Materia Prima"/>
    <x v="17"/>
    <n v="1000"/>
    <s v="kg"/>
    <n v="1718.69"/>
    <n v="1.1771849315068494"/>
    <n v="0"/>
    <s v="ARS"/>
    <n v="0.21"/>
    <n v="1718690"/>
    <n v="2079614.9"/>
    <n v="1424.3937671232877"/>
    <n v="1460"/>
    <m/>
  </r>
  <r>
    <x v="13"/>
    <x v="1"/>
    <x v="52"/>
    <s v="Materia Prima"/>
    <x v="17"/>
    <n v="1000"/>
    <s v="kg"/>
    <n v="2357.02"/>
    <n v="1.6143972602739727"/>
    <n v="0"/>
    <s v="ARS"/>
    <n v="0.21"/>
    <n v="2357020"/>
    <n v="2851994.2"/>
    <n v="1953.4206849315069"/>
    <n v="1460"/>
    <m/>
  </r>
  <r>
    <x v="13"/>
    <x v="1"/>
    <x v="0"/>
    <s v="Embalaje"/>
    <x v="0"/>
    <n v="279"/>
    <s v="kg"/>
    <n v="4672"/>
    <n v="3.2"/>
    <n v="0"/>
    <s v="ARS"/>
    <n v="0.21"/>
    <n v="1303488"/>
    <n v="1577220.48"/>
    <n v="1080.288"/>
    <n v="1460"/>
    <m/>
  </r>
  <r>
    <x v="13"/>
    <x v="1"/>
    <x v="53"/>
    <s v="Embalaje"/>
    <x v="0"/>
    <n v="50"/>
    <s v="unidad"/>
    <n v="990"/>
    <n v="0.67808219178082196"/>
    <n v="0"/>
    <s v="ARS"/>
    <n v="0.21"/>
    <n v="49500"/>
    <n v="59895"/>
    <n v="41.023972602739725"/>
    <n v="1460"/>
    <m/>
  </r>
  <r>
    <x v="13"/>
    <x v="1"/>
    <x v="54"/>
    <s v="Librería"/>
    <x v="18"/>
    <n v="1"/>
    <s v="unidad"/>
    <n v="36948.550000000003"/>
    <n v="25.307226027397263"/>
    <n v="0"/>
    <s v="ARS"/>
    <n v="0.21"/>
    <n v="36948.550000000003"/>
    <n v="44707.745500000005"/>
    <n v="30.621743493150689"/>
    <n v="1460"/>
    <m/>
  </r>
  <r>
    <x v="14"/>
    <x v="1"/>
    <x v="55"/>
    <s v="Embalaje"/>
    <x v="0"/>
    <n v="5"/>
    <s v="rollo"/>
    <n v="20769"/>
    <n v="14.274226804123712"/>
    <n v="0"/>
    <s v="ARS"/>
    <n v="0.21"/>
    <n v="103845"/>
    <n v="125652.45"/>
    <n v="86.359072164948458"/>
    <n v="1455"/>
    <m/>
  </r>
  <r>
    <x v="14"/>
    <x v="1"/>
    <x v="41"/>
    <s v="Herramientas"/>
    <x v="13"/>
    <n v="2"/>
    <s v="unidad"/>
    <n v="28000"/>
    <n v="19.243986254295532"/>
    <n v="0.1"/>
    <s v="ARS"/>
    <n v="0.21"/>
    <n v="50400"/>
    <n v="60984"/>
    <n v="41.91340206185567"/>
    <n v="1455"/>
    <m/>
  </r>
  <r>
    <x v="14"/>
    <x v="1"/>
    <x v="41"/>
    <s v="Herramientas"/>
    <x v="13"/>
    <n v="2"/>
    <s v="unidad"/>
    <n v="37000"/>
    <n v="25.429553264604809"/>
    <n v="0.1"/>
    <s v="ARS"/>
    <n v="0.21"/>
    <n v="66600"/>
    <n v="80586"/>
    <n v="55.385567010309281"/>
    <n v="1455"/>
    <m/>
  </r>
  <r>
    <x v="14"/>
    <x v="1"/>
    <x v="56"/>
    <s v="Materia Prima"/>
    <x v="19"/>
    <n v="120"/>
    <s v="unidad"/>
    <n v="8708.41"/>
    <n v="5.9851615120274912"/>
    <n v="0"/>
    <s v="ARS"/>
    <n v="0.21"/>
    <n v="1045009.2"/>
    <n v="1264461.132"/>
    <n v="869.04545154639175"/>
    <n v="1455"/>
    <m/>
  </r>
  <r>
    <x v="15"/>
    <x v="1"/>
    <x v="57"/>
    <s v="Embalaje"/>
    <x v="20"/>
    <n v="2"/>
    <s v="rollo"/>
    <n v="256000"/>
    <n v="176.55172413793105"/>
    <n v="0"/>
    <s v="ARS"/>
    <n v="0.21"/>
    <n v="512000"/>
    <n v="619520"/>
    <n v="427.2551724137931"/>
    <n v="1450"/>
    <m/>
  </r>
  <r>
    <x v="15"/>
    <x v="1"/>
    <x v="11"/>
    <s v="EPP"/>
    <x v="11"/>
    <n v="24"/>
    <s v="par"/>
    <n v="4219.5"/>
    <n v="2.91"/>
    <n v="0"/>
    <s v="ARS"/>
    <n v="0.21"/>
    <n v="101268"/>
    <n v="122534.28"/>
    <n v="84.506399999999999"/>
    <n v="1450"/>
    <s v="Tomaron TC 1455"/>
  </r>
  <r>
    <x v="15"/>
    <x v="1"/>
    <x v="58"/>
    <s v="Materia Prima"/>
    <x v="21"/>
    <n v="5164"/>
    <s v="kg"/>
    <n v="1882.77"/>
    <n v="1.2984620689655173"/>
    <n v="0"/>
    <s v="ARS"/>
    <n v="0.21"/>
    <n v="9722624.2799999993"/>
    <n v="11764375.378799999"/>
    <n v="8113.3623302068963"/>
    <n v="1450"/>
    <s v="Tomaron TC 1455"/>
  </r>
  <r>
    <x v="15"/>
    <x v="1"/>
    <x v="46"/>
    <s v="Reventa"/>
    <x v="15"/>
    <n v="1000"/>
    <s v="unidad"/>
    <n v="450"/>
    <n v="0.31034482758620691"/>
    <n v="0"/>
    <s v="ARS"/>
    <n v="0.21"/>
    <n v="450000"/>
    <n v="544500"/>
    <n v="375.51724137931035"/>
    <n v="1450"/>
    <m/>
  </r>
  <r>
    <x v="15"/>
    <x v="1"/>
    <x v="59"/>
    <s v="Reventa"/>
    <x v="15"/>
    <n v="1500"/>
    <s v="unidad"/>
    <n v="998"/>
    <n v="0.68827586206896552"/>
    <n v="0"/>
    <s v="ARS"/>
    <n v="0.21"/>
    <n v="1497000"/>
    <n v="1811370"/>
    <n v="1249.2206896551725"/>
    <n v="1450"/>
    <m/>
  </r>
  <r>
    <x v="15"/>
    <x v="1"/>
    <x v="47"/>
    <s v="Reventa"/>
    <x v="15"/>
    <n v="750"/>
    <s v="unidad"/>
    <n v="717"/>
    <n v="0.49448275862068963"/>
    <n v="0"/>
    <s v="ARS"/>
    <n v="0.21"/>
    <n v="537750"/>
    <n v="650677.5"/>
    <n v="448.74310344827586"/>
    <n v="1450"/>
    <m/>
  </r>
  <r>
    <x v="15"/>
    <x v="1"/>
    <x v="51"/>
    <s v="Materia Prima"/>
    <x v="17"/>
    <n v="5"/>
    <s v="kg"/>
    <n v="1718.69"/>
    <n v="1.1853034482758622"/>
    <n v="0"/>
    <s v="ARS"/>
    <n v="0.21"/>
    <n v="8593.4500000000007"/>
    <n v="10398.074500000001"/>
    <n v="7.1710858620689661"/>
    <n v="1450"/>
    <m/>
  </r>
  <r>
    <x v="15"/>
    <x v="1"/>
    <x v="50"/>
    <s v="Materia Prima"/>
    <x v="17"/>
    <n v="3"/>
    <s v="kg"/>
    <n v="1748.9"/>
    <n v="1.2061379310344829"/>
    <n v="0"/>
    <s v="ARS"/>
    <n v="0.21"/>
    <n v="5246.7000000000007"/>
    <n v="6348.5070000000005"/>
    <n v="4.3782806896551731"/>
    <n v="1450"/>
    <m/>
  </r>
  <r>
    <x v="15"/>
    <x v="1"/>
    <x v="52"/>
    <s v="Materia Prima"/>
    <x v="17"/>
    <n v="14"/>
    <s v="kg"/>
    <n v="2357.02"/>
    <n v="1.6255310344827587"/>
    <n v="0"/>
    <s v="ARS"/>
    <n v="0.21"/>
    <n v="32998.28"/>
    <n v="39927.918799999999"/>
    <n v="27.536495724137932"/>
    <n v="1450"/>
    <m/>
  </r>
  <r>
    <x v="16"/>
    <x v="1"/>
    <x v="60"/>
    <s v="Embalaje"/>
    <x v="22"/>
    <n v="400"/>
    <s v="unidad"/>
    <n v="186.38"/>
    <n v="0.12853793103448274"/>
    <n v="0"/>
    <s v="ARS"/>
    <n v="0.21"/>
    <n v="74552"/>
    <n v="90207.92"/>
    <n v="62.212358620689656"/>
    <n v="1450"/>
    <m/>
  </r>
  <r>
    <x v="16"/>
    <x v="1"/>
    <x v="61"/>
    <s v="Embalaje"/>
    <x v="22"/>
    <n v="196"/>
    <s v="unidad"/>
    <n v="266.25"/>
    <n v="0.18362068965517242"/>
    <n v="0"/>
    <s v="ARS"/>
    <n v="0.21"/>
    <n v="52185"/>
    <n v="63143.85"/>
    <n v="43.547482758620689"/>
    <n v="1450"/>
    <m/>
  </r>
  <r>
    <x v="16"/>
    <x v="1"/>
    <x v="62"/>
    <s v="Herramientas"/>
    <x v="23"/>
    <n v="75"/>
    <s v="unidad"/>
    <n v="1201"/>
    <n v="0.82827586206896553"/>
    <n v="0"/>
    <s v="ARS"/>
    <n v="0.21"/>
    <n v="90075"/>
    <n v="108990.75"/>
    <n v="75.166034482758619"/>
    <n v="1450"/>
    <m/>
  </r>
  <r>
    <x v="16"/>
    <x v="1"/>
    <x v="63"/>
    <n v="0"/>
    <x v="23"/>
    <n v="1"/>
    <m/>
    <n v="12596.18"/>
    <n v="8.6870206896551725"/>
    <n v="0"/>
    <s v="ARS"/>
    <n v="0.21"/>
    <n v="12596.18"/>
    <n v="15241.3778"/>
    <n v="10.511295034482758"/>
    <n v="1450"/>
    <m/>
  </r>
  <r>
    <x v="17"/>
    <x v="1"/>
    <x v="64"/>
    <s v="Pintura"/>
    <x v="24"/>
    <n v="1"/>
    <s v="litro"/>
    <n v="21309.08"/>
    <n v="14.645415807560139"/>
    <n v="0"/>
    <s v="ARS"/>
    <n v="0.21"/>
    <n v="21309.08"/>
    <n v="25783.986800000002"/>
    <n v="17.720953127147769"/>
    <n v="1455"/>
    <m/>
  </r>
  <r>
    <x v="17"/>
    <x v="1"/>
    <x v="44"/>
    <s v="Embalaje"/>
    <x v="12"/>
    <n v="300"/>
    <s v="unidad"/>
    <n v="1151.787521"/>
    <n v="0.79160654364261163"/>
    <n v="0.1"/>
    <s v="ARS"/>
    <n v="0.21"/>
    <n v="310982.63067000004"/>
    <n v="376288.98311070004"/>
    <n v="258.61785780804126"/>
    <n v="1455"/>
    <m/>
  </r>
  <r>
    <x v="17"/>
    <x v="1"/>
    <x v="45"/>
    <s v="Embalaje"/>
    <x v="12"/>
    <n v="200"/>
    <s v="unidad"/>
    <n v="814.51900799999999"/>
    <n v="0.55980687835051546"/>
    <n v="0.1"/>
    <s v="ARS"/>
    <n v="0.21"/>
    <n v="146613.42144000001"/>
    <n v="177402.23994240002"/>
    <n v="121.92593810474229"/>
    <n v="1455"/>
    <m/>
  </r>
  <r>
    <x v="18"/>
    <x v="1"/>
    <x v="7"/>
    <s v="Limpieza"/>
    <x v="4"/>
    <n v="8"/>
    <s v="bolsa"/>
    <n v="7300"/>
    <n v="5"/>
    <n v="0"/>
    <s v="ARS"/>
    <n v="0"/>
    <n v="58400"/>
    <n v="58400"/>
    <n v="40"/>
    <n v="1460"/>
    <m/>
  </r>
  <r>
    <x v="18"/>
    <x v="1"/>
    <x v="8"/>
    <s v="Limpieza"/>
    <x v="4"/>
    <n v="10"/>
    <s v="bolsa"/>
    <n v="9900"/>
    <n v="6.7808219178082192"/>
    <n v="0"/>
    <s v="ARS"/>
    <n v="0"/>
    <n v="99000"/>
    <n v="99000"/>
    <n v="67.808219178082197"/>
    <n v="1460"/>
    <m/>
  </r>
  <r>
    <x v="18"/>
    <x v="1"/>
    <x v="65"/>
    <s v="Reventa"/>
    <x v="25"/>
    <n v="1500"/>
    <s v="unidad"/>
    <n v="737"/>
    <n v="0.50479452054794516"/>
    <n v="0.28749999999999998"/>
    <s v="ARS"/>
    <n v="0.21"/>
    <n v="787668.74999999988"/>
    <n v="953079.18749999988"/>
    <n v="652.79396404109582"/>
    <n v="1460"/>
    <m/>
  </r>
  <r>
    <x v="18"/>
    <x v="1"/>
    <x v="66"/>
    <s v="Reventa"/>
    <x v="25"/>
    <n v="300"/>
    <s v="unidad"/>
    <n v="791"/>
    <n v="0.54178082191780819"/>
    <n v="0.28749999999999998"/>
    <s v="ARS"/>
    <n v="0.21"/>
    <n v="169076.25"/>
    <n v="204582.26250000001"/>
    <n v="140.12483732876714"/>
    <n v="1460"/>
    <m/>
  </r>
  <r>
    <x v="18"/>
    <x v="1"/>
    <x v="67"/>
    <s v="Reventa"/>
    <x v="25"/>
    <n v="500"/>
    <s v="unidad"/>
    <n v="710"/>
    <n v="0.4863013698630137"/>
    <n v="0.28749999999999998"/>
    <s v="ARS"/>
    <n v="0.21"/>
    <n v="252937.5"/>
    <n v="306054.375"/>
    <n v="209.62628424657535"/>
    <n v="1460"/>
    <m/>
  </r>
  <r>
    <x v="18"/>
    <x v="1"/>
    <x v="68"/>
    <s v="Reventa"/>
    <x v="25"/>
    <n v="100"/>
    <s v="unidad"/>
    <n v="130"/>
    <n v="8.9041095890410954E-2"/>
    <n v="0.28749999999999998"/>
    <s v="ARS"/>
    <n v="0.21"/>
    <n v="9262.5"/>
    <n v="11207.625"/>
    <n v="7.6764554794520548"/>
    <n v="1460"/>
    <m/>
  </r>
  <r>
    <x v="18"/>
    <x v="1"/>
    <x v="69"/>
    <s v="Reventa"/>
    <x v="25"/>
    <n v="3000"/>
    <s v="unidad"/>
    <n v="130"/>
    <n v="8.9041095890410954E-2"/>
    <n v="0.28749999999999998"/>
    <s v="ARS"/>
    <n v="0.21"/>
    <n v="277875"/>
    <n v="336228.75"/>
    <n v="230.29366438356163"/>
    <n v="1460"/>
    <m/>
  </r>
  <r>
    <x v="18"/>
    <x v="1"/>
    <x v="70"/>
    <s v="Reventa"/>
    <x v="25"/>
    <n v="500"/>
    <s v="unidad"/>
    <n v="217"/>
    <n v="0.14863013698630137"/>
    <n v="0.28749999999999998"/>
    <s v="ARS"/>
    <n v="0.21"/>
    <n v="77306.25"/>
    <n v="93540.5625"/>
    <n v="64.068878424657541"/>
    <n v="1460"/>
    <m/>
  </r>
  <r>
    <x v="19"/>
    <x v="1"/>
    <x v="71"/>
    <s v="EPP"/>
    <x v="5"/>
    <n v="3"/>
    <s v="unidad"/>
    <n v="49509.2"/>
    <n v="33.67972789115646"/>
    <n v="0"/>
    <s v="ARS"/>
    <n v="0.21"/>
    <n v="148527.59999999998"/>
    <n v="179718.39599999998"/>
    <n v="122.25741224489795"/>
    <n v="1470"/>
    <m/>
  </r>
  <r>
    <x v="19"/>
    <x v="1"/>
    <x v="6"/>
    <s v="Soldadura"/>
    <x v="3"/>
    <n v="1"/>
    <s v="rollo"/>
    <n v="80000"/>
    <n v="54.42176870748299"/>
    <n v="0"/>
    <s v="ARS"/>
    <n v="0.21"/>
    <n v="80000"/>
    <n v="96800"/>
    <n v="65.850340136054427"/>
    <n v="1470"/>
    <m/>
  </r>
  <r>
    <x v="19"/>
    <x v="1"/>
    <x v="46"/>
    <s v="Reventa"/>
    <x v="15"/>
    <n v="2000"/>
    <s v="unidad"/>
    <n v="450"/>
    <n v="0.30612244897959184"/>
    <n v="0"/>
    <s v="ARS"/>
    <n v="0.21"/>
    <n v="900000"/>
    <n v="1089000"/>
    <n v="740.81632653061229"/>
    <n v="1470"/>
    <m/>
  </r>
  <r>
    <x v="19"/>
    <x v="1"/>
    <x v="47"/>
    <s v="Reventa"/>
    <x v="15"/>
    <n v="750"/>
    <s v="unidad"/>
    <n v="757"/>
    <n v="0.51496598639455782"/>
    <n v="0"/>
    <s v="ARS"/>
    <n v="0.21"/>
    <n v="567750"/>
    <n v="686977.5"/>
    <n v="467.33163265306121"/>
    <n v="1470"/>
    <m/>
  </r>
  <r>
    <x v="19"/>
    <x v="1"/>
    <x v="59"/>
    <s v="Reventa"/>
    <x v="15"/>
    <n v="1000"/>
    <s v="unidad"/>
    <n v="998"/>
    <n v="0.67891156462585034"/>
    <n v="0"/>
    <s v="ARS"/>
    <n v="0.21"/>
    <n v="998000"/>
    <n v="1207580"/>
    <n v="821.48299319727892"/>
    <n v="1470"/>
    <m/>
  </r>
  <r>
    <x v="20"/>
    <x v="1"/>
    <x v="34"/>
    <s v="Embalaje"/>
    <x v="9"/>
    <n v="20"/>
    <s v="unidad"/>
    <n v="6500"/>
    <n v="4.3918918918918921"/>
    <n v="0"/>
    <s v="ARS"/>
    <n v="0.21"/>
    <n v="130000"/>
    <n v="157300"/>
    <n v="106.28378378378379"/>
    <n v="1480"/>
    <m/>
  </r>
  <r>
    <x v="20"/>
    <x v="1"/>
    <x v="72"/>
    <s v="Librería"/>
    <x v="1"/>
    <n v="2"/>
    <s v="unidad"/>
    <n v="10360"/>
    <n v="7"/>
    <n v="0.15"/>
    <s v="ARS"/>
    <n v="0.21"/>
    <n v="17612"/>
    <n v="21310.52"/>
    <n v="14.399000000000001"/>
    <n v="1480"/>
    <m/>
  </r>
  <r>
    <x v="20"/>
    <x v="1"/>
    <x v="73"/>
    <s v="Librería"/>
    <x v="1"/>
    <n v="1"/>
    <s v="unidad"/>
    <n v="20720"/>
    <n v="14"/>
    <n v="0.15"/>
    <s v="ARS"/>
    <n v="0.21"/>
    <n v="17612"/>
    <n v="21310.52"/>
    <n v="14.399000000000001"/>
    <n v="1480"/>
    <m/>
  </r>
  <r>
    <x v="20"/>
    <x v="1"/>
    <x v="1"/>
    <s v="Librería"/>
    <x v="1"/>
    <n v="10"/>
    <s v="unidad"/>
    <n v="5800"/>
    <n v="3.9189189189189189"/>
    <n v="0"/>
    <s v="ARS"/>
    <n v="0.21"/>
    <n v="58000"/>
    <n v="70180"/>
    <n v="47.418918918918919"/>
    <n v="1480"/>
    <m/>
  </r>
  <r>
    <x v="21"/>
    <x v="1"/>
    <x v="74"/>
    <s v="Embalaje"/>
    <x v="10"/>
    <n v="5"/>
    <s v="bolsa"/>
    <n v="6169.95"/>
    <n v="4.1409060402684563"/>
    <n v="0.4"/>
    <s v="ARS"/>
    <n v="0.21"/>
    <n v="18509.849999999999"/>
    <n v="22396.9185"/>
    <n v="15.031488926174497"/>
    <n v="1490"/>
    <m/>
  </r>
  <r>
    <x v="21"/>
    <x v="1"/>
    <x v="36"/>
    <s v="Embalaje"/>
    <x v="10"/>
    <n v="20"/>
    <s v="bolsa"/>
    <n v="22056.94"/>
    <n v="14.80331543624161"/>
    <n v="0.4"/>
    <s v="ARS"/>
    <n v="0.21"/>
    <n v="264683.27999999997"/>
    <n v="320266.76879999996"/>
    <n v="214.94414013422815"/>
    <n v="1490"/>
    <m/>
  </r>
  <r>
    <x v="21"/>
    <x v="1"/>
    <x v="49"/>
    <s v="Embalaje"/>
    <x v="10"/>
    <n v="5"/>
    <s v="bolsa"/>
    <n v="27888.080000000002"/>
    <n v="18.716832214765102"/>
    <n v="0.4"/>
    <s v="ARS"/>
    <n v="0.21"/>
    <n v="83664.239999999991"/>
    <n v="101233.73039999999"/>
    <n v="67.94210093959731"/>
    <n v="1490"/>
    <m/>
  </r>
  <r>
    <x v="21"/>
    <x v="1"/>
    <x v="0"/>
    <s v="Embalaje"/>
    <x v="0"/>
    <n v="186"/>
    <s v="kg"/>
    <n v="4736"/>
    <n v="3.178523489932886"/>
    <n v="0"/>
    <s v="ARS"/>
    <n v="0.21"/>
    <n v="880896"/>
    <n v="1065884.1599999999"/>
    <n v="715.3584966442952"/>
    <n v="1490"/>
    <m/>
  </r>
  <r>
    <x v="21"/>
    <x v="1"/>
    <x v="35"/>
    <s v="Embalaje"/>
    <x v="0"/>
    <n v="31"/>
    <s v="kg"/>
    <n v="4380.8"/>
    <n v="2.9401342281879197"/>
    <n v="0"/>
    <s v="ARS"/>
    <n v="0.21"/>
    <n v="135804.80000000002"/>
    <n v="164323.80800000002"/>
    <n v="110.28443489932887"/>
    <n v="1490"/>
    <m/>
  </r>
  <r>
    <x v="21"/>
    <x v="1"/>
    <x v="75"/>
    <s v="Embalaje"/>
    <x v="0"/>
    <n v="18.600000000000001"/>
    <s v="kg"/>
    <n v="5313.2"/>
    <n v="3.5659060402684561"/>
    <n v="0"/>
    <s v="ARS"/>
    <n v="0.21"/>
    <n v="98825.52"/>
    <n v="119578.8792"/>
    <n v="80.254281342281871"/>
    <n v="1490"/>
    <m/>
  </r>
  <r>
    <x v="22"/>
    <x v="1"/>
    <x v="46"/>
    <s v="Reventa"/>
    <x v="15"/>
    <n v="1000"/>
    <s v="unidad"/>
    <n v="450"/>
    <n v="0.30100334448160537"/>
    <n v="0"/>
    <s v="ARS"/>
    <n v="0.21"/>
    <n v="450000"/>
    <n v="544500"/>
    <n v="364.21404682274249"/>
    <n v="1495"/>
    <m/>
  </r>
  <r>
    <x v="22"/>
    <x v="1"/>
    <x v="59"/>
    <s v="Reventa"/>
    <x v="15"/>
    <n v="1000"/>
    <s v="unidad"/>
    <n v="998"/>
    <n v="0.6675585284280936"/>
    <n v="0"/>
    <s v="ARS"/>
    <n v="0.21"/>
    <n v="998000"/>
    <n v="1207580"/>
    <n v="807.74581939799327"/>
    <n v="1495"/>
    <m/>
  </r>
  <r>
    <x v="22"/>
    <x v="1"/>
    <x v="47"/>
    <s v="Reventa"/>
    <x v="15"/>
    <n v="1500"/>
    <s v="unidad"/>
    <n v="717"/>
    <n v="0.47959866220735786"/>
    <n v="0"/>
    <s v="ARS"/>
    <n v="0.21"/>
    <n v="1075500"/>
    <n v="1301355"/>
    <n v="870.47157190635448"/>
    <n v="1495"/>
    <m/>
  </r>
  <r>
    <x v="22"/>
    <x v="1"/>
    <x v="57"/>
    <s v="Embalaje"/>
    <x v="26"/>
    <n v="10"/>
    <s v="kg"/>
    <n v="7620"/>
    <n v="5.0969899665551841"/>
    <n v="0"/>
    <s v="ARS"/>
    <n v="0.21"/>
    <n v="76200"/>
    <n v="92202"/>
    <n v="61.673578595317728"/>
    <n v="1495"/>
    <m/>
  </r>
  <r>
    <x v="22"/>
    <x v="1"/>
    <x v="76"/>
    <s v="EPP"/>
    <x v="27"/>
    <n v="1"/>
    <s v="unidad"/>
    <n v="32000"/>
    <n v="21.404682274247492"/>
    <n v="0"/>
    <s v="ARS"/>
    <n v="0.21"/>
    <n v="32000"/>
    <n v="38720"/>
    <n v="25.899665551839465"/>
    <n v="1495"/>
    <m/>
  </r>
  <r>
    <x v="22"/>
    <x v="1"/>
    <x v="3"/>
    <s v="Reventa"/>
    <x v="2"/>
    <n v="100800"/>
    <s v="unidad"/>
    <n v="19.775860000000002"/>
    <n v="1.3228E-2"/>
    <n v="0.15379999999999999"/>
    <s v="ARS"/>
    <n v="0.21"/>
    <n v="1686820.7393856002"/>
    <n v="2041053.0946565762"/>
    <n v="1365.2529061248001"/>
    <n v="1495"/>
    <m/>
  </r>
  <r>
    <x v="22"/>
    <x v="1"/>
    <x v="42"/>
    <s v="Herramientas"/>
    <x v="13"/>
    <n v="1"/>
    <s v="unidad"/>
    <n v="59500"/>
    <n v="39.799331103678931"/>
    <n v="0"/>
    <s v="ARS"/>
    <n v="0.21"/>
    <n v="59500"/>
    <n v="71995"/>
    <n v="48.157190635451506"/>
    <n v="1495"/>
    <m/>
  </r>
  <r>
    <x v="22"/>
    <x v="1"/>
    <x v="41"/>
    <s v="Herramientas"/>
    <x v="13"/>
    <n v="2"/>
    <s v="unidad"/>
    <n v="37000"/>
    <n v="24.749163879598662"/>
    <n v="0.1"/>
    <s v="ARS"/>
    <n v="0.21"/>
    <n v="66600"/>
    <n v="80586"/>
    <n v="53.903678929765888"/>
    <n v="1495"/>
    <m/>
  </r>
  <r>
    <x v="22"/>
    <x v="1"/>
    <x v="20"/>
    <s v="Limpieza"/>
    <x v="7"/>
    <n v="6"/>
    <s v="unidad"/>
    <n v="3198.34"/>
    <n v="2.1393578595317728"/>
    <n v="0"/>
    <s v="ARS"/>
    <n v="0.21"/>
    <n v="19190.04"/>
    <n v="23219.948400000001"/>
    <n v="15.53173806020067"/>
    <n v="1495"/>
    <m/>
  </r>
  <r>
    <x v="22"/>
    <x v="1"/>
    <x v="21"/>
    <s v="Limpieza"/>
    <x v="7"/>
    <n v="3"/>
    <s v="paquete"/>
    <n v="570.24"/>
    <n v="0.38143143812709029"/>
    <n v="0"/>
    <s v="ARS"/>
    <n v="0.21"/>
    <n v="1710.72"/>
    <n v="2069.9712"/>
    <n v="1.3845961204013377"/>
    <n v="1495"/>
    <m/>
  </r>
  <r>
    <x v="22"/>
    <x v="1"/>
    <x v="22"/>
    <s v="Limpieza"/>
    <x v="7"/>
    <n v="20"/>
    <s v="paquete"/>
    <n v="1694.21"/>
    <n v="1.1332508361204015"/>
    <n v="0"/>
    <s v="ARS"/>
    <n v="0.21"/>
    <n v="33884.199999999997"/>
    <n v="40999.881999999998"/>
    <n v="27.424670234113712"/>
    <n v="1495"/>
    <m/>
  </r>
  <r>
    <x v="22"/>
    <x v="1"/>
    <x v="23"/>
    <s v="Limpieza"/>
    <x v="7"/>
    <n v="3"/>
    <s v="unidad"/>
    <n v="504.13"/>
    <n v="0.33721070234113715"/>
    <n v="0"/>
    <s v="ARS"/>
    <n v="0.21"/>
    <n v="1512.3899999999999"/>
    <n v="1829.9918999999998"/>
    <n v="1.2240748494983276"/>
    <n v="1495"/>
    <m/>
  </r>
  <r>
    <x v="22"/>
    <x v="1"/>
    <x v="24"/>
    <s v="Limpieza"/>
    <x v="7"/>
    <n v="3"/>
    <s v="bidón"/>
    <n v="2809.91"/>
    <n v="1.8795384615384614"/>
    <n v="0"/>
    <s v="ARS"/>
    <n v="0.21"/>
    <n v="8429.73"/>
    <n v="10199.9733"/>
    <n v="6.8227246153846153"/>
    <n v="1495"/>
    <m/>
  </r>
  <r>
    <x v="22"/>
    <x v="1"/>
    <x v="25"/>
    <s v="Limpieza"/>
    <x v="7"/>
    <n v="1"/>
    <s v="unidad"/>
    <n v="2628.09"/>
    <n v="1.7579197324414717"/>
    <n v="0"/>
    <s v="ARS"/>
    <n v="0.21"/>
    <n v="2628.09"/>
    <n v="3179.9889000000003"/>
    <n v="2.1270828762541809"/>
    <n v="1495"/>
    <m/>
  </r>
  <r>
    <x v="22"/>
    <x v="1"/>
    <x v="26"/>
    <s v="Limpieza"/>
    <x v="7"/>
    <n v="1"/>
    <s v="bidón"/>
    <n v="8264.4599999999991"/>
    <n v="5.5280668896321066"/>
    <n v="0"/>
    <s v="ARS"/>
    <n v="0.21"/>
    <n v="8264.4599999999991"/>
    <n v="9999.9965999999986"/>
    <n v="6.6889609364548486"/>
    <n v="1495"/>
    <m/>
  </r>
  <r>
    <x v="22"/>
    <x v="1"/>
    <x v="27"/>
    <s v="Limpieza"/>
    <x v="7"/>
    <n v="1"/>
    <s v="bidón"/>
    <n v="7561.98"/>
    <n v="5.0581806020066891"/>
    <n v="0"/>
    <s v="ARS"/>
    <n v="0.21"/>
    <n v="7561.98"/>
    <n v="9149.9957999999988"/>
    <n v="6.1203985284280931"/>
    <n v="1495"/>
    <m/>
  </r>
  <r>
    <x v="22"/>
    <x v="1"/>
    <x v="77"/>
    <s v="Limpieza"/>
    <x v="7"/>
    <n v="1"/>
    <s v="bidón"/>
    <n v="14008.26"/>
    <n v="9.3700735785953171"/>
    <n v="0"/>
    <s v="ARS"/>
    <n v="0.21"/>
    <n v="14008.26"/>
    <n v="16949.994599999998"/>
    <n v="11.337789030100334"/>
    <n v="1495"/>
    <m/>
  </r>
  <r>
    <x v="22"/>
    <x v="1"/>
    <x v="28"/>
    <s v="Limpieza"/>
    <x v="7"/>
    <n v="2"/>
    <s v="unidad"/>
    <n v="1206.6099999999999"/>
    <n v="0.8070969899665551"/>
    <n v="0"/>
    <s v="ARS"/>
    <n v="0.21"/>
    <n v="2413.2199999999998"/>
    <n v="2919.9961999999996"/>
    <n v="1.9531747157190633"/>
    <n v="1495"/>
    <m/>
  </r>
  <r>
    <x v="22"/>
    <x v="1"/>
    <x v="30"/>
    <s v="Limpieza"/>
    <x v="7"/>
    <n v="9"/>
    <s v="unidad"/>
    <n v="4008.26"/>
    <n v="2.6811103678929769"/>
    <n v="0"/>
    <s v="ARS"/>
    <n v="0.21"/>
    <n v="36074.340000000004"/>
    <n v="43649.951400000005"/>
    <n v="29.197291906354518"/>
    <n v="1495"/>
    <m/>
  </r>
  <r>
    <x v="22"/>
    <x v="1"/>
    <x v="78"/>
    <s v="Limpieza"/>
    <x v="7"/>
    <n v="3"/>
    <s v="unidad"/>
    <n v="32272.720000000001"/>
    <n v="21.587103678929768"/>
    <n v="0"/>
    <s v="ARS"/>
    <n v="0.21"/>
    <n v="96818.16"/>
    <n v="117149.9736"/>
    <n v="78.361186354515056"/>
    <n v="1495"/>
    <m/>
  </r>
  <r>
    <x v="23"/>
    <x v="1"/>
    <x v="79"/>
    <s v="Embalaje"/>
    <x v="28"/>
    <n v="1"/>
    <s v="rollo"/>
    <n v="14876.03"/>
    <n v="9.9505217391304353"/>
    <n v="0"/>
    <s v="ARS"/>
    <n v="0.21"/>
    <n v="14876.03"/>
    <n v="17999.996299999999"/>
    <n v="12.040131304347826"/>
    <n v="1495"/>
    <m/>
  </r>
  <r>
    <x v="23"/>
    <x v="1"/>
    <x v="80"/>
    <s v="Embalaje"/>
    <x v="28"/>
    <n v="4"/>
    <s v="rollo"/>
    <n v="14876.03"/>
    <n v="9.9505217391304353"/>
    <n v="0"/>
    <s v="ARS"/>
    <n v="0.21"/>
    <n v="59504.12"/>
    <n v="71999.985199999996"/>
    <n v="48.160525217391303"/>
    <n v="1495"/>
    <m/>
  </r>
  <r>
    <x v="23"/>
    <x v="1"/>
    <x v="81"/>
    <s v="Embalaje"/>
    <x v="28"/>
    <n v="27"/>
    <s v="rollo"/>
    <n v="32231.4"/>
    <n v="21.559464882943146"/>
    <n v="0"/>
    <s v="ARS"/>
    <n v="0.21"/>
    <n v="870247.8"/>
    <n v="1052999.838"/>
    <n v="704.34771772575255"/>
    <n v="1495"/>
    <m/>
  </r>
  <r>
    <x v="23"/>
    <x v="1"/>
    <x v="82"/>
    <s v="Embalaje"/>
    <x v="28"/>
    <n v="2"/>
    <s v="rollo"/>
    <n v="41818.18"/>
    <n v="27.972026755852841"/>
    <n v="0"/>
    <s v="ARS"/>
    <n v="0.21"/>
    <n v="83636.36"/>
    <n v="101199.99559999999"/>
    <n v="67.692304749163881"/>
    <n v="1495"/>
    <m/>
  </r>
  <r>
    <x v="23"/>
    <x v="1"/>
    <x v="83"/>
    <s v="Embalaje"/>
    <x v="28"/>
    <n v="5"/>
    <s v="rollo"/>
    <n v="11570.25"/>
    <n v="7.7392976588628759"/>
    <n v="0"/>
    <s v="ARS"/>
    <n v="0.21"/>
    <n v="57851.25"/>
    <n v="70000.012499999997"/>
    <n v="46.822750836120399"/>
    <n v="1495"/>
    <m/>
  </r>
  <r>
    <x v="24"/>
    <x v="1"/>
    <x v="84"/>
    <s v="Embalaje"/>
    <x v="29"/>
    <n v="103"/>
    <s v="kg"/>
    <n v="3617.9"/>
    <n v="2.42"/>
    <n v="0"/>
    <s v="ARS"/>
    <n v="0.21"/>
    <n v="372643.7"/>
    <n v="450898.87699999998"/>
    <n v="301.6046"/>
    <n v="1495"/>
    <m/>
  </r>
  <r>
    <x v="24"/>
    <x v="1"/>
    <x v="39"/>
    <s v="Soldadura"/>
    <x v="3"/>
    <n v="20"/>
    <s v="m3"/>
    <n v="18500"/>
    <n v="12.374581939799331"/>
    <n v="0"/>
    <s v="ARS"/>
    <n v="0.21"/>
    <n v="370000"/>
    <n v="447700"/>
    <n v="299.46488294314383"/>
    <n v="1495"/>
    <m/>
  </r>
  <r>
    <x v="24"/>
    <x v="1"/>
    <x v="6"/>
    <s v="Soldadura"/>
    <x v="3"/>
    <n v="2"/>
    <s v="rollo"/>
    <n v="80000"/>
    <n v="53.511705685618729"/>
    <n v="0"/>
    <s v="ARS"/>
    <n v="0.21"/>
    <n v="160000"/>
    <n v="193600"/>
    <n v="129.49832775919734"/>
    <n v="1495"/>
    <m/>
  </r>
  <r>
    <x v="24"/>
    <x v="1"/>
    <x v="85"/>
    <s v="Librería"/>
    <x v="18"/>
    <n v="20"/>
    <s v="unidad"/>
    <n v="1029.3800000000001"/>
    <n v="0.68854849498327764"/>
    <n v="0"/>
    <s v="ARS"/>
    <n v="0.21"/>
    <n v="20587.600000000002"/>
    <n v="24910.996000000003"/>
    <n v="16.66287357859532"/>
    <n v="1495"/>
    <m/>
  </r>
  <r>
    <x v="24"/>
    <x v="1"/>
    <x v="86"/>
    <s v="Librería"/>
    <x v="18"/>
    <n v="20"/>
    <s v="unidad"/>
    <n v="1029.3800000000001"/>
    <n v="0.68854849498327764"/>
    <n v="0"/>
    <s v="ARS"/>
    <n v="0.21"/>
    <n v="20587.600000000002"/>
    <n v="24910.996000000003"/>
    <n v="16.66287357859532"/>
    <n v="1495"/>
    <m/>
  </r>
  <r>
    <x v="24"/>
    <x v="1"/>
    <x v="87"/>
    <s v="Librería"/>
    <x v="18"/>
    <n v="2"/>
    <s v="unidad"/>
    <n v="998.28"/>
    <n v="0.66774581939799327"/>
    <n v="0"/>
    <s v="ARS"/>
    <n v="0.21"/>
    <n v="1996.56"/>
    <n v="2415.8375999999998"/>
    <n v="1.6159448829431438"/>
    <n v="1495"/>
    <m/>
  </r>
  <r>
    <x v="25"/>
    <x v="1"/>
    <x v="44"/>
    <s v="Embalaje"/>
    <x v="12"/>
    <n v="300"/>
    <s v="unidad"/>
    <n v="1151.787521"/>
    <n v="0.76785834733333336"/>
    <n v="0.1"/>
    <s v="ARS"/>
    <n v="0.21"/>
    <n v="310982.63067000004"/>
    <n v="376288.98311070004"/>
    <n v="250.85932207380003"/>
    <n v="1500"/>
    <m/>
  </r>
  <r>
    <x v="25"/>
    <x v="1"/>
    <x v="45"/>
    <s v="Embalaje"/>
    <x v="12"/>
    <n v="300"/>
    <s v="unidad"/>
    <n v="814.51900799999999"/>
    <n v="0.54301267200000003"/>
    <n v="0.1"/>
    <s v="ARS"/>
    <n v="0.21"/>
    <n v="219920.13216000001"/>
    <n v="266103.35991360003"/>
    <n v="177.40223994240003"/>
    <n v="1500"/>
    <m/>
  </r>
  <r>
    <x v="25"/>
    <x v="1"/>
    <x v="55"/>
    <s v="Embalaje"/>
    <x v="30"/>
    <n v="10"/>
    <s v="unidad"/>
    <n v="16000"/>
    <n v="10.666666666666666"/>
    <n v="0"/>
    <s v="ARS"/>
    <n v="0.21"/>
    <n v="160000"/>
    <n v="193600"/>
    <n v="129.06666666666666"/>
    <n v="1500"/>
    <m/>
  </r>
  <r>
    <x v="25"/>
    <x v="1"/>
    <x v="88"/>
    <s v="Embalaje"/>
    <x v="30"/>
    <n v="10"/>
    <s v="unidad"/>
    <n v="9148"/>
    <n v="6.0986666666666665"/>
    <n v="0"/>
    <s v="ARS"/>
    <n v="0.21"/>
    <n v="91480"/>
    <n v="110690.8"/>
    <n v="73.793866666666673"/>
    <n v="1500"/>
    <m/>
  </r>
  <r>
    <x v="25"/>
    <x v="1"/>
    <x v="89"/>
    <s v="Lubricantes"/>
    <x v="31"/>
    <n v="2"/>
    <s v="pack"/>
    <n v="46620"/>
    <n v="31.08"/>
    <n v="0"/>
    <s v="ARS"/>
    <n v="0.21"/>
    <n v="93240"/>
    <n v="112820.4"/>
    <n v="75.2136"/>
    <n v="1500"/>
    <s v="bonif 37% (entender fac)"/>
  </r>
  <r>
    <x v="25"/>
    <x v="1"/>
    <x v="45"/>
    <s v="Embalaje"/>
    <x v="12"/>
    <n v="100"/>
    <s v="unidad"/>
    <n v="814.51900799999999"/>
    <n v="0.54301267200000003"/>
    <n v="0.1"/>
    <s v="ARS"/>
    <n v="0.21"/>
    <n v="73306.710720000003"/>
    <n v="88701.119971200009"/>
    <n v="59.134079980800003"/>
    <n v="1500"/>
    <m/>
  </r>
  <r>
    <x v="25"/>
    <x v="1"/>
    <x v="90"/>
    <s v="Embalaje"/>
    <x v="12"/>
    <n v="40"/>
    <s v="unidad"/>
    <n v="3818.057851"/>
    <n v="2.5453719006666669"/>
    <n v="0.1"/>
    <s v="ARS"/>
    <n v="0.21"/>
    <n v="137450.08263600001"/>
    <n v="166314.59998956"/>
    <n v="110.87639999304"/>
    <n v="1500"/>
    <m/>
  </r>
  <r>
    <x v="25"/>
    <x v="1"/>
    <x v="91"/>
    <s v="Embalaje"/>
    <x v="12"/>
    <n v="5"/>
    <s v="kg"/>
    <n v="5488.3719010000004"/>
    <n v="3.6589146006666668"/>
    <n v="0.1"/>
    <s v="ARS"/>
    <n v="0.21"/>
    <n v="24697.673554500001"/>
    <n v="29884.185000944999"/>
    <n v="19.922790000629998"/>
    <n v="1500"/>
    <m/>
  </r>
  <r>
    <x v="25"/>
    <x v="1"/>
    <x v="44"/>
    <s v="Embalaje"/>
    <x v="12"/>
    <n v="300"/>
    <s v="unidad"/>
    <n v="1151.787521"/>
    <n v="0.76785834733333336"/>
    <n v="0.1"/>
    <s v="ARS"/>
    <n v="0.21"/>
    <n v="310982.63067000004"/>
    <n v="376288.98311070004"/>
    <n v="250.85932207380003"/>
    <n v="1500"/>
    <m/>
  </r>
  <r>
    <x v="25"/>
    <x v="1"/>
    <x v="45"/>
    <s v="Embalaje"/>
    <x v="12"/>
    <n v="300"/>
    <s v="unidad"/>
    <n v="814.51900799999999"/>
    <n v="0.54301267200000003"/>
    <n v="0.1"/>
    <s v="ARS"/>
    <n v="0.21"/>
    <n v="219920.13216000001"/>
    <n v="266103.35991360003"/>
    <n v="177.40223994240003"/>
    <n v="1500"/>
    <m/>
  </r>
  <r>
    <x v="26"/>
    <x v="2"/>
    <x v="9"/>
    <s v="EPP"/>
    <x v="5"/>
    <n v="24"/>
    <s v="par"/>
    <n v="651.22"/>
    <n v="0.43127152317880796"/>
    <n v="0"/>
    <s v="ARS"/>
    <n v="0.21"/>
    <n v="15629.28"/>
    <n v="18911.428800000002"/>
    <n v="12.524125033112584"/>
    <n v="1510"/>
    <m/>
  </r>
  <r>
    <x v="26"/>
    <x v="2"/>
    <x v="10"/>
    <s v="EPP"/>
    <x v="5"/>
    <n v="24"/>
    <s v="par"/>
    <n v="651.22"/>
    <n v="0.43127152317880796"/>
    <n v="0"/>
    <s v="ARS"/>
    <n v="0.21"/>
    <n v="15629.28"/>
    <n v="18911.428800000002"/>
    <n v="12.524125033112584"/>
    <n v="1510"/>
    <m/>
  </r>
  <r>
    <x v="26"/>
    <x v="2"/>
    <x v="11"/>
    <s v="EPP"/>
    <x v="5"/>
    <n v="24"/>
    <s v="par"/>
    <n v="4795"/>
    <n v="3.1754966887417218"/>
    <n v="0"/>
    <s v="ARS"/>
    <n v="0.21"/>
    <n v="115080"/>
    <n v="139246.79999999999"/>
    <n v="92.216423841059594"/>
    <n v="1510"/>
    <m/>
  </r>
  <r>
    <x v="26"/>
    <x v="2"/>
    <x v="12"/>
    <s v="Reventa"/>
    <x v="6"/>
    <n v="32"/>
    <s v="kg"/>
    <n v="4800"/>
    <n v="3.1788079470198674"/>
    <n v="0"/>
    <s v="ARS"/>
    <n v="0.21"/>
    <n v="153600"/>
    <n v="185856"/>
    <n v="123.08344370860927"/>
    <n v="1510"/>
    <m/>
  </r>
  <r>
    <x v="26"/>
    <x v="2"/>
    <x v="14"/>
    <s v="Reventa"/>
    <x v="6"/>
    <n v="20"/>
    <s v="kg"/>
    <n v="4890"/>
    <n v="3.23841059602649"/>
    <n v="0"/>
    <s v="ARS"/>
    <n v="0.21"/>
    <n v="97800"/>
    <n v="118338"/>
    <n v="78.369536423841055"/>
    <n v="1510"/>
    <m/>
  </r>
  <r>
    <x v="26"/>
    <x v="2"/>
    <x v="15"/>
    <s v="Reventa"/>
    <x v="6"/>
    <n v="5000"/>
    <s v="unidad"/>
    <n v="29.2"/>
    <n v="1.933774834437086E-2"/>
    <n v="0"/>
    <s v="ARS"/>
    <n v="0.21"/>
    <n v="146000"/>
    <n v="176660"/>
    <n v="116.99337748344371"/>
    <n v="1510"/>
    <m/>
  </r>
  <r>
    <x v="26"/>
    <x v="2"/>
    <x v="92"/>
    <s v="Reventa"/>
    <x v="6"/>
    <n v="10000"/>
    <s v="unidad"/>
    <n v="235.44"/>
    <n v="0.15592052980132451"/>
    <n v="0"/>
    <s v="ARS"/>
    <n v="0.21"/>
    <n v="2354400"/>
    <n v="2848824"/>
    <n v="1886.6384105960265"/>
    <n v="1510"/>
    <m/>
  </r>
  <r>
    <x v="26"/>
    <x v="2"/>
    <x v="93"/>
    <s v="Reventa"/>
    <x v="6"/>
    <n v="2000"/>
    <s v="unidad"/>
    <n v="123"/>
    <n v="8.1456953642384103E-2"/>
    <n v="0"/>
    <s v="ARS"/>
    <n v="0.21"/>
    <n v="246000"/>
    <n v="297660"/>
    <n v="197.12582781456953"/>
    <n v="1510"/>
    <s v="precio x menor cant"/>
  </r>
  <r>
    <x v="26"/>
    <x v="2"/>
    <x v="94"/>
    <s v="Reventa"/>
    <x v="6"/>
    <n v="2000"/>
    <s v="unidad"/>
    <n v="246"/>
    <n v="0.16291390728476821"/>
    <n v="0"/>
    <s v="ARS"/>
    <n v="0.21"/>
    <n v="492000"/>
    <n v="595320"/>
    <n v="394.25165562913907"/>
    <n v="1510"/>
    <s v="precio x menor cant"/>
  </r>
  <r>
    <x v="26"/>
    <x v="2"/>
    <x v="95"/>
    <s v="Reventa"/>
    <x v="6"/>
    <n v="2000"/>
    <s v="unidad"/>
    <n v="140"/>
    <n v="9.2715231788079472E-2"/>
    <n v="0"/>
    <s v="ARS"/>
    <n v="0.21"/>
    <n v="280000"/>
    <n v="338800"/>
    <n v="224.37086092715231"/>
    <n v="1510"/>
    <s v="precio x menor cant"/>
  </r>
  <r>
    <x v="26"/>
    <x v="2"/>
    <x v="16"/>
    <s v="Reventa"/>
    <x v="6"/>
    <n v="100000"/>
    <s v="unidad"/>
    <n v="27.97"/>
    <n v="1.852317880794702E-2"/>
    <n v="0"/>
    <s v="ARS"/>
    <n v="0.21"/>
    <n v="2797000"/>
    <n v="3384370"/>
    <n v="2241.3046357615895"/>
    <n v="1510"/>
    <m/>
  </r>
  <r>
    <x v="26"/>
    <x v="2"/>
    <x v="3"/>
    <s v="Reventa"/>
    <x v="6"/>
    <n v="54000"/>
    <s v="unidad"/>
    <n v="16"/>
    <n v="1.0596026490066225E-2"/>
    <n v="0"/>
    <s v="ARS"/>
    <n v="0.21"/>
    <n v="864000"/>
    <n v="1045440"/>
    <n v="692.34437086092714"/>
    <n v="1510"/>
    <m/>
  </r>
  <r>
    <x v="26"/>
    <x v="2"/>
    <x v="15"/>
    <s v="Reventa"/>
    <x v="6"/>
    <n v="10000"/>
    <s v="unidad"/>
    <n v="29.2"/>
    <n v="1.933774834437086E-2"/>
    <n v="0"/>
    <s v="ARS"/>
    <n v="0.21"/>
    <n v="292000"/>
    <n v="353320"/>
    <n v="233.98675496688742"/>
    <n v="1510"/>
    <m/>
  </r>
  <r>
    <x v="26"/>
    <x v="2"/>
    <x v="41"/>
    <s v="Herramientas"/>
    <x v="13"/>
    <n v="2"/>
    <s v="unidad"/>
    <n v="37000"/>
    <n v="24.503311258278146"/>
    <n v="0.1"/>
    <s v="ARS"/>
    <n v="0.21"/>
    <n v="66600"/>
    <n v="80586"/>
    <n v="53.368211920529802"/>
    <n v="1510"/>
    <m/>
  </r>
  <r>
    <x v="26"/>
    <x v="2"/>
    <x v="36"/>
    <s v="Embalaje"/>
    <x v="10"/>
    <n v="20"/>
    <s v="bolsa"/>
    <n v="22056.94"/>
    <n v="14.607245033112582"/>
    <n v="0.4"/>
    <s v="ARS"/>
    <n v="0.21"/>
    <n v="264683.27999999997"/>
    <n v="320266.76879999996"/>
    <n v="212.09719788079468"/>
    <n v="1510"/>
    <m/>
  </r>
  <r>
    <x v="26"/>
    <x v="2"/>
    <x v="49"/>
    <s v="Embalaje"/>
    <x v="10"/>
    <n v="5"/>
    <s v="bolsa"/>
    <n v="27888.080000000002"/>
    <n v="18.468927152317882"/>
    <n v="0.4"/>
    <s v="ARS"/>
    <n v="0.21"/>
    <n v="83664.239999999991"/>
    <n v="101233.73039999999"/>
    <n v="67.042205562913892"/>
    <n v="1510"/>
    <m/>
  </r>
  <r>
    <x v="27"/>
    <x v="2"/>
    <x v="96"/>
    <s v="EPP"/>
    <x v="11"/>
    <n v="5"/>
    <s v="unidad"/>
    <n v="1796.9"/>
    <n v="1.1900000000000002"/>
    <n v="0"/>
    <s v="USD"/>
    <n v="0.21"/>
    <n v="8984.5"/>
    <n v="10871.244999999999"/>
    <n v="7.1994999999999996"/>
    <n v="1510"/>
    <m/>
  </r>
  <r>
    <x v="27"/>
    <x v="2"/>
    <x v="97"/>
    <s v="EPP"/>
    <x v="11"/>
    <n v="3"/>
    <s v="unidad"/>
    <n v="5436"/>
    <n v="3.6"/>
    <n v="0"/>
    <s v="USD"/>
    <n v="0.21"/>
    <n v="16308"/>
    <n v="19732.68"/>
    <n v="13.068"/>
    <n v="1510"/>
    <m/>
  </r>
  <r>
    <x v="27"/>
    <x v="2"/>
    <x v="59"/>
    <s v="Reventa"/>
    <x v="15"/>
    <n v="500"/>
    <s v="unidad"/>
    <n v="998"/>
    <n v="0.66092715231788079"/>
    <n v="0"/>
    <s v="ARS"/>
    <n v="0.21"/>
    <n v="499000"/>
    <n v="603790"/>
    <n v="399.86092715231786"/>
    <n v="1510"/>
    <m/>
  </r>
  <r>
    <x v="27"/>
    <x v="2"/>
    <x v="46"/>
    <s v="Reventa"/>
    <x v="15"/>
    <n v="1000"/>
    <s v="unidad"/>
    <n v="450"/>
    <n v="0.29801324503311261"/>
    <n v="0"/>
    <s v="ARS"/>
    <n v="0.21"/>
    <n v="450000"/>
    <n v="544500"/>
    <n v="360.59602649006621"/>
    <n v="1510"/>
    <m/>
  </r>
  <r>
    <x v="27"/>
    <x v="2"/>
    <x v="59"/>
    <s v="Reventa"/>
    <x v="15"/>
    <n v="1500"/>
    <s v="unidad"/>
    <n v="998"/>
    <n v="0.66092715231788079"/>
    <n v="0"/>
    <s v="ARS"/>
    <n v="0.21"/>
    <n v="1497000"/>
    <n v="1811370"/>
    <n v="1199.5827814569536"/>
    <n v="1510"/>
    <m/>
  </r>
  <r>
    <x v="27"/>
    <x v="2"/>
    <x v="46"/>
    <s v="Reventa"/>
    <x v="15"/>
    <n v="1500"/>
    <s v="unidad"/>
    <n v="450"/>
    <n v="0.29801324503311261"/>
    <n v="0"/>
    <s v="ARS"/>
    <n v="0.21"/>
    <n v="675000"/>
    <n v="816750"/>
    <n v="540.89403973509934"/>
    <n v="1510"/>
    <m/>
  </r>
  <r>
    <x v="28"/>
    <x v="2"/>
    <x v="39"/>
    <s v="Soldadura"/>
    <x v="3"/>
    <n v="40"/>
    <s v="m3"/>
    <n v="4500"/>
    <n v="2.9801324503311259"/>
    <n v="0"/>
    <s v="ARS"/>
    <m/>
    <n v="180000"/>
    <n v="180000"/>
    <n v="119.20529801324503"/>
    <n v="1510"/>
    <s v="4 tubos"/>
  </r>
  <r>
    <x v="28"/>
    <x v="2"/>
    <x v="0"/>
    <s v="Embalaje"/>
    <x v="0"/>
    <n v="278"/>
    <s v="kg"/>
    <n v="4832"/>
    <n v="3.2"/>
    <n v="0"/>
    <s v="ARS"/>
    <n v="0.21"/>
    <n v="1343296"/>
    <n v="1625388.16"/>
    <n v="1076.4159999999999"/>
    <n v="1510"/>
    <m/>
  </r>
  <r>
    <x v="29"/>
    <x v="2"/>
    <x v="39"/>
    <s v="Soldadura"/>
    <x v="3"/>
    <n v="40"/>
    <s v="m3"/>
    <n v="4500"/>
    <n v="2.9801324503311259"/>
    <n v="0"/>
    <s v="ARS"/>
    <m/>
    <n v="180000"/>
    <n v="180000"/>
    <n v="119.20529801324503"/>
    <n v="1510"/>
    <s v="4 tubos"/>
  </r>
  <r>
    <x v="29"/>
    <x v="2"/>
    <x v="5"/>
    <s v="Soldadura"/>
    <x v="3"/>
    <n v="10"/>
    <s v="m3"/>
    <n v="18500"/>
    <n v="12.251655629139073"/>
    <n v="0"/>
    <s v="ARS"/>
    <m/>
    <n v="185000"/>
    <n v="185000"/>
    <n v="122.51655629139073"/>
    <n v="1510"/>
    <s v="1 tubo"/>
  </r>
  <r>
    <x v="29"/>
    <x v="2"/>
    <x v="98"/>
    <s v="Servicio"/>
    <x v="8"/>
    <n v="792"/>
    <s v="unidad"/>
    <n v="398"/>
    <n v="0.26357615894039738"/>
    <n v="0"/>
    <s v="ARS"/>
    <m/>
    <n v="315216"/>
    <n v="315216"/>
    <n v="208.75231788079469"/>
    <n v="1510"/>
    <s v="Lista 03-2026"/>
  </r>
  <r>
    <x v="29"/>
    <x v="2"/>
    <x v="99"/>
    <s v="Servicio"/>
    <x v="8"/>
    <n v="1485"/>
    <s v="unidad"/>
    <n v="420"/>
    <n v="0.27814569536423839"/>
    <n v="0"/>
    <s v="ARS"/>
    <m/>
    <n v="623700"/>
    <n v="623700"/>
    <n v="413.04635761589407"/>
    <n v="1510"/>
    <m/>
  </r>
  <r>
    <x v="29"/>
    <x v="2"/>
    <x v="100"/>
    <s v="Herramientas"/>
    <x v="32"/>
    <n v="2"/>
    <s v="unidad"/>
    <n v="10503.75"/>
    <n v="6.9561258278145699"/>
    <n v="0"/>
    <s v="ARS"/>
    <n v="0.21"/>
    <n v="21007.5"/>
    <n v="25419.075000000001"/>
    <n v="16.833824503311259"/>
    <n v="1510"/>
    <m/>
  </r>
  <r>
    <x v="29"/>
    <x v="2"/>
    <x v="101"/>
    <s v="Herramientas"/>
    <x v="32"/>
    <n v="4"/>
    <s v="unidad"/>
    <n v="16153.27"/>
    <n v="10.697529801324503"/>
    <n v="0"/>
    <s v="ARS"/>
    <n v="0.21"/>
    <n v="64613.08"/>
    <n v="78181.826799999995"/>
    <n v="51.776044238410591"/>
    <n v="1510"/>
    <m/>
  </r>
  <r>
    <x v="29"/>
    <x v="2"/>
    <x v="102"/>
    <s v="Herramientas"/>
    <x v="32"/>
    <n v="1"/>
    <s v="unidad"/>
    <n v="32098.51"/>
    <n v="21.257291390728476"/>
    <n v="0"/>
    <s v="ARS"/>
    <n v="0.21"/>
    <n v="32098.51"/>
    <n v="38839.197099999998"/>
    <n v="25.721322582781454"/>
    <n v="1510"/>
    <m/>
  </r>
  <r>
    <x v="30"/>
    <x v="2"/>
    <x v="103"/>
    <s v="EPP"/>
    <x v="5"/>
    <n v="9"/>
    <s v="unidad"/>
    <n v="32531"/>
    <n v="21.472607260726072"/>
    <n v="0"/>
    <s v="ARS"/>
    <n v="0.21"/>
    <n v="292779"/>
    <n v="354262.58999999997"/>
    <n v="233.8366930693069"/>
    <n v="1515"/>
    <m/>
  </r>
  <r>
    <x v="30"/>
    <x v="2"/>
    <x v="96"/>
    <s v="EPP"/>
    <x v="5"/>
    <n v="4"/>
    <s v="unidad"/>
    <n v="1981"/>
    <n v="1.3075907590759075"/>
    <n v="0"/>
    <s v="ARS"/>
    <n v="0.21"/>
    <n v="7924"/>
    <n v="9588.0400000000009"/>
    <n v="6.3287392739273933"/>
    <n v="1515"/>
    <m/>
  </r>
  <r>
    <x v="30"/>
    <x v="2"/>
    <x v="104"/>
    <s v="EPP"/>
    <x v="5"/>
    <n v="1"/>
    <s v="unidad"/>
    <n v="9950"/>
    <n v="6.5676567656765679"/>
    <n v="0"/>
    <s v="ARS"/>
    <n v="0.21"/>
    <n v="9950"/>
    <n v="12039.5"/>
    <n v="7.946864686468647"/>
    <n v="1515"/>
    <m/>
  </r>
  <r>
    <x v="30"/>
    <x v="2"/>
    <x v="9"/>
    <s v="EPP"/>
    <x v="5"/>
    <n v="1"/>
    <s v="par"/>
    <n v="651.15"/>
    <n v="0.4298019801980198"/>
    <n v="0"/>
    <s v="ARS"/>
    <n v="0.21"/>
    <n v="651.15"/>
    <n v="787.89149999999995"/>
    <n v="0.52006039603960397"/>
    <n v="1515"/>
    <m/>
  </r>
  <r>
    <x v="30"/>
    <x v="2"/>
    <x v="10"/>
    <s v="EPP"/>
    <x v="5"/>
    <n v="12"/>
    <s v="par"/>
    <n v="651.15"/>
    <n v="0.4298019801980198"/>
    <n v="0"/>
    <s v="ARS"/>
    <n v="0.21"/>
    <n v="7813.7999999999993"/>
    <n v="9454.6979999999985"/>
    <n v="6.2407247524752467"/>
    <n v="1515"/>
    <m/>
  </r>
  <r>
    <x v="30"/>
    <x v="2"/>
    <x v="11"/>
    <s v="EPP"/>
    <x v="5"/>
    <n v="12"/>
    <s v="par"/>
    <n v="4795"/>
    <n v="3.165016501650165"/>
    <n v="0"/>
    <s v="ARS"/>
    <n v="0.21"/>
    <n v="57540"/>
    <n v="69623.399999999994"/>
    <n v="45.956039603960392"/>
    <n v="1515"/>
    <m/>
  </r>
  <r>
    <x v="30"/>
    <x v="2"/>
    <x v="71"/>
    <s v="EPP"/>
    <x v="5"/>
    <n v="1"/>
    <s v="par"/>
    <n v="49509.2"/>
    <n v="32.679339933993397"/>
    <n v="0"/>
    <s v="ARS"/>
    <n v="0.21"/>
    <n v="49509.2"/>
    <n v="59906.131999999998"/>
    <n v="39.542001320132009"/>
    <n v="1515"/>
    <m/>
  </r>
  <r>
    <x v="30"/>
    <x v="2"/>
    <x v="96"/>
    <s v="EPP"/>
    <x v="5"/>
    <n v="2"/>
    <s v="unidad"/>
    <n v="1981"/>
    <n v="1.3075907590759075"/>
    <n v="0"/>
    <s v="ARS"/>
    <n v="0.21"/>
    <n v="3962"/>
    <n v="4794.0200000000004"/>
    <n v="3.1643696369636967"/>
    <n v="1515"/>
    <m/>
  </r>
  <r>
    <x v="30"/>
    <x v="2"/>
    <x v="104"/>
    <s v="EPP"/>
    <x v="5"/>
    <n v="2"/>
    <s v="unidad"/>
    <n v="9950"/>
    <n v="6.5676567656765679"/>
    <n v="0"/>
    <s v="ARS"/>
    <n v="0.21"/>
    <n v="19900"/>
    <n v="24079"/>
    <n v="15.893729372937294"/>
    <n v="1515"/>
    <m/>
  </r>
  <r>
    <x v="30"/>
    <x v="2"/>
    <x v="11"/>
    <s v="EPP"/>
    <x v="5"/>
    <n v="24"/>
    <s v="par"/>
    <n v="4795"/>
    <n v="3.165016501650165"/>
    <n v="0"/>
    <s v="ARS"/>
    <n v="0.21"/>
    <n v="115080"/>
    <n v="139246.79999999999"/>
    <n v="91.912079207920783"/>
    <n v="1515"/>
    <m/>
  </r>
  <r>
    <x v="30"/>
    <x v="2"/>
    <x v="41"/>
    <s v="Herramientas"/>
    <x v="13"/>
    <n v="1"/>
    <s v="unidad"/>
    <n v="28000"/>
    <n v="18.481848184818482"/>
    <n v="0.1"/>
    <s v="ARS"/>
    <n v="0.21"/>
    <n v="25200"/>
    <n v="30492"/>
    <n v="20.126732673267327"/>
    <n v="1515"/>
    <m/>
  </r>
  <r>
    <x v="30"/>
    <x v="2"/>
    <x v="105"/>
    <s v="Embalaje"/>
    <x v="33"/>
    <n v="1000"/>
    <s v="unidad"/>
    <n v="765"/>
    <n v="0.50495049504950495"/>
    <n v="0"/>
    <s v="ARS"/>
    <n v="0.21"/>
    <n v="765000"/>
    <n v="925650"/>
    <n v="610.99009900990097"/>
    <n v="1515"/>
    <m/>
  </r>
  <r>
    <x v="31"/>
    <x v="2"/>
    <x v="44"/>
    <s v="Embalaje"/>
    <x v="12"/>
    <n v="300"/>
    <s v="unidad"/>
    <n v="1209.3802000000001"/>
    <n v="0.80091403973509934"/>
    <n v="0.1"/>
    <s v="ARS"/>
    <n v="0.21"/>
    <n v="326532.65399999998"/>
    <n v="395104.51133999997"/>
    <n v="261.65861678145694"/>
    <n v="1510"/>
    <m/>
  </r>
  <r>
    <x v="32"/>
    <x v="2"/>
    <x v="1"/>
    <s v="Librería"/>
    <x v="1"/>
    <n v="10"/>
    <s v="unidad"/>
    <n v="5900"/>
    <n v="3.9072847682119205"/>
    <n v="0"/>
    <s v="ARS"/>
    <n v="0.21"/>
    <n v="59000"/>
    <n v="71390"/>
    <n v="47.278145695364238"/>
    <n v="1510"/>
    <m/>
  </r>
  <r>
    <x v="32"/>
    <x v="2"/>
    <x v="2"/>
    <s v="Librería"/>
    <x v="1"/>
    <n v="4"/>
    <s v="unidad"/>
    <n v="16720"/>
    <n v="11.072847682119205"/>
    <n v="0.15"/>
    <s v="ARS"/>
    <n v="0.21"/>
    <n v="56848"/>
    <n v="68786.080000000002"/>
    <n v="45.553695364238415"/>
    <n v="1510"/>
    <m/>
  </r>
  <r>
    <x v="33"/>
    <x v="2"/>
    <x v="44"/>
    <s v="Embalaje"/>
    <x v="12"/>
    <n v="300"/>
    <s v="unidad"/>
    <n v="1209.380165"/>
    <n v="0.80894994314381274"/>
    <n v="0.1"/>
    <s v="ARS"/>
    <n v="0.21"/>
    <n v="326532.64455000003"/>
    <n v="395104.49990550004"/>
    <n v="264.28394642508363"/>
    <n v="1495"/>
    <m/>
  </r>
  <r>
    <x v="33"/>
    <x v="2"/>
    <x v="74"/>
    <s v="Embalaje"/>
    <x v="10"/>
    <n v="5"/>
    <s v="bolsa"/>
    <n v="6169.95"/>
    <n v="4.1270568561872905"/>
    <n v="0.4"/>
    <s v="ARS"/>
    <n v="0.21"/>
    <n v="18509.849999999999"/>
    <n v="22396.9185"/>
    <n v="14.981216387959867"/>
    <n v="1495"/>
    <m/>
  </r>
  <r>
    <x v="33"/>
    <x v="2"/>
    <x v="36"/>
    <s v="Embalaje"/>
    <x v="10"/>
    <n v="20"/>
    <s v="bolsa"/>
    <n v="22056.94"/>
    <n v="14.753806020066889"/>
    <n v="0.4"/>
    <s v="ARS"/>
    <n v="0.21"/>
    <n v="264683.27999999997"/>
    <n v="320266.76879999996"/>
    <n v="214.2252634113712"/>
    <n v="1495"/>
    <m/>
  </r>
  <r>
    <x v="33"/>
    <x v="2"/>
    <x v="57"/>
    <s v="Embalaje"/>
    <x v="26"/>
    <n v="9"/>
    <s v="kg"/>
    <n v="7620"/>
    <n v="5.0969899665551841"/>
    <n v="0"/>
    <s v="ARS"/>
    <n v="0.21"/>
    <n v="68580"/>
    <n v="82981.8"/>
    <n v="55.506220735785952"/>
    <n v="1495"/>
    <m/>
  </r>
  <r>
    <x v="34"/>
    <x v="2"/>
    <x v="41"/>
    <s v="Herramientas"/>
    <x v="13"/>
    <n v="1"/>
    <s v="unidad"/>
    <n v="28000"/>
    <n v="18.729096989966557"/>
    <n v="0.1"/>
    <s v="ARS"/>
    <n v="0.21"/>
    <n v="25200"/>
    <n v="30492"/>
    <n v="20.395986622073579"/>
    <n v="1495"/>
    <m/>
  </r>
  <r>
    <x v="34"/>
    <x v="2"/>
    <x v="41"/>
    <s v="Herramientas"/>
    <x v="13"/>
    <n v="1"/>
    <s v="unidad"/>
    <n v="37000"/>
    <n v="24.749163879598662"/>
    <n v="0.1"/>
    <s v="ARS"/>
    <n v="0.21"/>
    <n v="33300"/>
    <n v="40293"/>
    <n v="26.951839464882944"/>
    <n v="1495"/>
    <m/>
  </r>
  <r>
    <x v="35"/>
    <x v="2"/>
    <x v="3"/>
    <s v="Reventa"/>
    <x v="2"/>
    <n v="93000"/>
    <s v="unidad"/>
    <n v="19.775860000000002"/>
    <n v="1.3228E-2"/>
    <n v="0.15379999999999999"/>
    <s v="ARS"/>
    <n v="0.21"/>
    <n v="1556292.9440760002"/>
    <n v="1883114.4623319602"/>
    <n v="1259.6083360080002"/>
    <n v="1495"/>
    <m/>
  </r>
  <r>
    <x v="35"/>
    <x v="2"/>
    <x v="106"/>
    <s v="Soldadura"/>
    <x v="16"/>
    <n v="5"/>
    <s v="unidad"/>
    <n v="5546.45"/>
    <n v="3.71"/>
    <n v="0"/>
    <s v="ARS"/>
    <n v="0.21"/>
    <n v="27732.25"/>
    <n v="33556.022499999999"/>
    <n v="22.445499999999999"/>
    <n v="1495"/>
    <m/>
  </r>
  <r>
    <x v="36"/>
    <x v="2"/>
    <x v="0"/>
    <s v="Embalaje"/>
    <x v="0"/>
    <n v="188"/>
    <s v="kg"/>
    <n v="4335.5"/>
    <n v="2.8903333333333334"/>
    <n v="0"/>
    <s v="ARS"/>
    <n v="0.21"/>
    <n v="815074"/>
    <n v="986239.54"/>
    <n v="657.49302666666665"/>
    <n v="1500"/>
    <s v="Tomaron TC 1495"/>
  </r>
  <r>
    <x v="36"/>
    <x v="2"/>
    <x v="75"/>
    <s v="Embalaje"/>
    <x v="0"/>
    <n v="18.8"/>
    <s v="kg"/>
    <n v="4634.5"/>
    <n v="3.0896666666666666"/>
    <n v="0"/>
    <s v="ARS"/>
    <n v="0.21"/>
    <n v="87128.6"/>
    <n v="105425.606"/>
    <n v="70.283737333333335"/>
    <n v="1500"/>
    <m/>
  </r>
  <r>
    <x v="36"/>
    <x v="2"/>
    <x v="60"/>
    <s v="Embalaje"/>
    <x v="22"/>
    <n v="320"/>
    <s v="unidad"/>
    <n v="186.38"/>
    <n v="0.12425333333333333"/>
    <n v="0"/>
    <s v="ARS"/>
    <n v="0.21"/>
    <n v="59641.599999999999"/>
    <n v="72166.335999999996"/>
    <n v="48.110890666666663"/>
    <n v="1500"/>
    <m/>
  </r>
  <r>
    <x v="36"/>
    <x v="2"/>
    <x v="61"/>
    <s v="Embalaje"/>
    <x v="22"/>
    <n v="504"/>
    <s v="unidad"/>
    <n v="266.25"/>
    <n v="0.17749999999999999"/>
    <n v="0"/>
    <s v="ARS"/>
    <n v="0.21"/>
    <n v="134190"/>
    <n v="162369.9"/>
    <n v="108.2466"/>
    <n v="1500"/>
    <m/>
  </r>
  <r>
    <x v="36"/>
    <x v="2"/>
    <x v="107"/>
    <s v="Herramientas"/>
    <x v="34"/>
    <n v="3"/>
    <s v="unidad"/>
    <n v="19586.776900000001"/>
    <n v="13.057851266666667"/>
    <n v="0"/>
    <s v="ARS"/>
    <n v="0.21"/>
    <n v="58760.330700000006"/>
    <n v="71100.000147000013"/>
    <n v="47.400000098000007"/>
    <n v="1500"/>
    <s v="Marca Bremen"/>
  </r>
  <r>
    <x v="36"/>
    <x v="2"/>
    <x v="108"/>
    <s v="Librería"/>
    <x v="18"/>
    <n v="5"/>
    <s v="unidad"/>
    <n v="1621.5"/>
    <n v="1.081"/>
    <n v="0"/>
    <s v="ARS"/>
    <n v="0.21"/>
    <n v="8107.5"/>
    <n v="9810.0750000000007"/>
    <n v="6.5400500000000008"/>
    <n v="1500"/>
    <m/>
  </r>
  <r>
    <x v="36"/>
    <x v="2"/>
    <x v="109"/>
    <s v="Librería"/>
    <x v="18"/>
    <n v="5"/>
    <s v="unidad"/>
    <n v="538.13"/>
    <n v="0.35875333333333331"/>
    <n v="0"/>
    <s v="ARS"/>
    <n v="0.21"/>
    <n v="2690.65"/>
    <n v="3255.6865000000003"/>
    <n v="2.1704576666666666"/>
    <n v="1500"/>
    <m/>
  </r>
  <r>
    <x v="36"/>
    <x v="2"/>
    <x v="110"/>
    <s v="Librería"/>
    <x v="18"/>
    <n v="3"/>
    <s v="unidad"/>
    <n v="3948"/>
    <n v="2.6320000000000001"/>
    <n v="0"/>
    <s v="ARS"/>
    <n v="0.21"/>
    <n v="11844"/>
    <n v="14331.24"/>
    <n v="9.5541599999999995"/>
    <n v="1500"/>
    <m/>
  </r>
  <r>
    <x v="36"/>
    <x v="2"/>
    <x v="111"/>
    <s v="Librería"/>
    <x v="18"/>
    <n v="36"/>
    <s v="unidad"/>
    <n v="185.44"/>
    <n v="0.12362666666666666"/>
    <n v="0"/>
    <s v="ARS"/>
    <n v="0.21"/>
    <n v="6675.84"/>
    <n v="8077.7664000000004"/>
    <n v="5.3851776000000005"/>
    <n v="1500"/>
    <m/>
  </r>
  <r>
    <x v="37"/>
    <x v="2"/>
    <x v="112"/>
    <s v="EPP"/>
    <x v="27"/>
    <n v="4"/>
    <s v="unidad"/>
    <n v="23500"/>
    <n v="15.666666666666666"/>
    <n v="0"/>
    <s v="ARS"/>
    <n v="0.21"/>
    <n v="94000"/>
    <n v="113740"/>
    <n v="75.826666666666668"/>
    <n v="1500"/>
    <m/>
  </r>
  <r>
    <x v="37"/>
    <x v="2"/>
    <x v="76"/>
    <s v="EPP"/>
    <x v="27"/>
    <n v="1"/>
    <s v="unidad"/>
    <n v="32000"/>
    <n v="21.333333333333332"/>
    <n v="0"/>
    <s v="ARS"/>
    <n v="0.21"/>
    <n v="32000"/>
    <n v="38720"/>
    <n v="25.813333333333333"/>
    <n v="1500"/>
    <m/>
  </r>
  <r>
    <x v="37"/>
    <x v="2"/>
    <x v="71"/>
    <s v="EPP"/>
    <x v="27"/>
    <n v="1"/>
    <s v="unidad"/>
    <n v="59000"/>
    <n v="39.333333333333336"/>
    <n v="0"/>
    <s v="ARS"/>
    <n v="0.21"/>
    <n v="59000"/>
    <n v="71390"/>
    <n v="47.593333333333334"/>
    <n v="1500"/>
    <m/>
  </r>
  <r>
    <x v="37"/>
    <x v="2"/>
    <x v="113"/>
    <s v="Librería"/>
    <x v="18"/>
    <n v="2"/>
    <s v="unidad"/>
    <n v="13105.91"/>
    <n v="8.7372733333333326"/>
    <n v="0"/>
    <s v="ARS"/>
    <n v="0.21"/>
    <n v="26211.82"/>
    <n v="31716.302199999998"/>
    <n v="21.144201466666665"/>
    <n v="1500"/>
    <m/>
  </r>
  <r>
    <x v="38"/>
    <x v="2"/>
    <x v="9"/>
    <s v="EPP"/>
    <x v="5"/>
    <n v="48"/>
    <s v="par"/>
    <n v="651.15"/>
    <n v="0.43265780730897008"/>
    <n v="0"/>
    <s v="ARS"/>
    <n v="0.21"/>
    <n v="31255.199999999997"/>
    <n v="37818.791999999994"/>
    <n v="25.128765448504979"/>
    <n v="1505"/>
    <m/>
  </r>
  <r>
    <x v="38"/>
    <x v="2"/>
    <x v="10"/>
    <s v="EPP"/>
    <x v="5"/>
    <n v="60"/>
    <s v="par"/>
    <n v="651.15"/>
    <n v="0.43265780730897008"/>
    <n v="0"/>
    <s v="ARS"/>
    <n v="0.21"/>
    <n v="39069"/>
    <n v="47273.49"/>
    <n v="31.410956810631227"/>
    <n v="1505"/>
    <m/>
  </r>
  <r>
    <x v="38"/>
    <x v="2"/>
    <x v="11"/>
    <s v="EPP"/>
    <x v="5"/>
    <n v="24"/>
    <s v="par"/>
    <n v="4482"/>
    <n v="2.9780730897009966"/>
    <n v="0"/>
    <s v="ARS"/>
    <n v="0.21"/>
    <n v="107568"/>
    <n v="130157.28"/>
    <n v="86.483242524916946"/>
    <n v="1505"/>
    <s v="Mejora de precio de un 7%"/>
  </r>
  <r>
    <x v="38"/>
    <x v="2"/>
    <x v="36"/>
    <s v="Embalaje"/>
    <x v="10"/>
    <n v="25"/>
    <s v="bolsa"/>
    <n v="22056.94"/>
    <n v="14.655774086378736"/>
    <n v="0.4"/>
    <s v="ARS"/>
    <n v="0.21"/>
    <n v="330854.09999999998"/>
    <n v="400333.46099999995"/>
    <n v="266.00229966777408"/>
    <n v="1505"/>
    <m/>
  </r>
  <r>
    <x v="38"/>
    <x v="2"/>
    <x v="16"/>
    <s v="Reventa"/>
    <x v="6"/>
    <n v="50000"/>
    <s v="unidad"/>
    <n v="27.97"/>
    <n v="1.8584717607973422E-2"/>
    <n v="0"/>
    <s v="ARS"/>
    <n v="0.21"/>
    <n v="1398500"/>
    <n v="1692185"/>
    <n v="1124.3754152823919"/>
    <n v="1505"/>
    <m/>
  </r>
  <r>
    <x v="38"/>
    <x v="2"/>
    <x v="3"/>
    <s v="Reventa"/>
    <x v="6"/>
    <n v="50000"/>
    <s v="unidad"/>
    <n v="16"/>
    <n v="1.0631229235880399E-2"/>
    <n v="0"/>
    <s v="ARS"/>
    <n v="0.21"/>
    <n v="800000"/>
    <n v="968000"/>
    <n v="643.18936877076408"/>
    <n v="1505"/>
    <m/>
  </r>
  <r>
    <x v="38"/>
    <x v="2"/>
    <x v="114"/>
    <s v="Reventa"/>
    <x v="6"/>
    <n v="15000"/>
    <s v="unidad"/>
    <n v="107.51"/>
    <n v="7.1435215946843864E-2"/>
    <n v="0"/>
    <s v="ARS"/>
    <n v="0.21"/>
    <n v="1612650"/>
    <n v="1951306.5"/>
    <n v="1296.5491694352158"/>
    <n v="1505"/>
    <m/>
  </r>
  <r>
    <x v="38"/>
    <x v="2"/>
    <x v="12"/>
    <s v="Reventa"/>
    <x v="6"/>
    <n v="32.6"/>
    <s v="kg"/>
    <n v="4800"/>
    <n v="3.1893687707641196"/>
    <n v="0"/>
    <s v="ARS"/>
    <n v="0.21"/>
    <n v="156480"/>
    <n v="189340.79999999999"/>
    <n v="125.80784053156145"/>
    <n v="1505"/>
    <m/>
  </r>
  <r>
    <x v="38"/>
    <x v="2"/>
    <x v="14"/>
    <s v="Reventa"/>
    <x v="6"/>
    <n v="20"/>
    <s v="kg"/>
    <n v="4890"/>
    <n v="3.249169435215947"/>
    <n v="0"/>
    <s v="ARS"/>
    <n v="0.21"/>
    <n v="97800"/>
    <n v="118338"/>
    <n v="78.629900332225915"/>
    <n v="1505"/>
    <m/>
  </r>
  <r>
    <x v="38"/>
    <x v="2"/>
    <x v="13"/>
    <s v="Reventa"/>
    <x v="6"/>
    <n v="25"/>
    <s v="kg"/>
    <n v="4185"/>
    <n v="2.7807308970099669"/>
    <n v="0"/>
    <s v="ARS"/>
    <n v="0.21"/>
    <n v="104625"/>
    <n v="126596.25"/>
    <n v="84.117109634551497"/>
    <n v="1505"/>
    <m/>
  </r>
  <r>
    <x v="38"/>
    <x v="2"/>
    <x v="92"/>
    <s v="Reventa"/>
    <x v="6"/>
    <n v="5000"/>
    <s v="unidad"/>
    <n v="235.44"/>
    <n v="0.15643853820598005"/>
    <n v="0"/>
    <s v="ARS"/>
    <n v="0.21"/>
    <n v="1177200"/>
    <n v="1424412"/>
    <n v="946.45315614617937"/>
    <n v="1505"/>
    <m/>
  </r>
  <r>
    <x v="38"/>
    <x v="2"/>
    <x v="17"/>
    <s v="Reventa"/>
    <x v="6"/>
    <n v="10000"/>
    <m/>
    <n v="12.5"/>
    <n v="8.3056478405315621E-3"/>
    <n v="0"/>
    <s v="ARS"/>
    <n v="0.21"/>
    <n v="125000"/>
    <n v="151250"/>
    <n v="100.49833887043189"/>
    <n v="1505"/>
    <m/>
  </r>
  <r>
    <x v="38"/>
    <x v="2"/>
    <x v="41"/>
    <s v="Herramientas"/>
    <x v="13"/>
    <n v="1"/>
    <s v="unidad"/>
    <n v="28000"/>
    <n v="18.604651162790699"/>
    <n v="0.1"/>
    <s v="ARS"/>
    <n v="0.21"/>
    <n v="25200"/>
    <n v="30492"/>
    <n v="20.260465116279068"/>
    <n v="1505"/>
    <m/>
  </r>
  <r>
    <x v="38"/>
    <x v="2"/>
    <x v="41"/>
    <s v="Herramientas"/>
    <x v="13"/>
    <n v="1"/>
    <s v="unidad"/>
    <n v="37000"/>
    <n v="24.58471760797342"/>
    <n v="0.1"/>
    <s v="ARS"/>
    <n v="0.21"/>
    <n v="33300"/>
    <n v="40293"/>
    <n v="26.772757475083058"/>
    <n v="1505"/>
    <m/>
  </r>
  <r>
    <x v="38"/>
    <x v="2"/>
    <x v="42"/>
    <s v="Herramientas"/>
    <x v="13"/>
    <n v="2"/>
    <s v="unidad"/>
    <n v="59500"/>
    <n v="39.534883720930232"/>
    <n v="0"/>
    <s v="ARS"/>
    <n v="0.21"/>
    <n v="119000"/>
    <n v="143990"/>
    <n v="95.674418604651166"/>
    <n v="1505"/>
    <m/>
  </r>
  <r>
    <x v="39"/>
    <x v="2"/>
    <x v="7"/>
    <s v="Limpieza"/>
    <x v="4"/>
    <n v="8"/>
    <s v="bolsa"/>
    <n v="7300"/>
    <n v="4.8184818481848186"/>
    <n v="0"/>
    <s v="ARS"/>
    <m/>
    <n v="58400"/>
    <n v="58400"/>
    <n v="38.547854785478549"/>
    <n v="1515"/>
    <m/>
  </r>
  <r>
    <x v="39"/>
    <x v="2"/>
    <x v="8"/>
    <s v="Limpieza"/>
    <x v="4"/>
    <n v="10"/>
    <s v="bolsa"/>
    <n v="9900"/>
    <n v="6.5346534653465342"/>
    <n v="0"/>
    <s v="ARS"/>
    <m/>
    <n v="99000"/>
    <n v="99000"/>
    <n v="65.346534653465341"/>
    <n v="1515"/>
    <m/>
  </r>
  <r>
    <x v="40"/>
    <x v="2"/>
    <x v="5"/>
    <s v="Soldadura"/>
    <x v="3"/>
    <n v="20"/>
    <s v="m3"/>
    <n v="18500"/>
    <n v="12.171052631578947"/>
    <n v="0"/>
    <s v="ARS"/>
    <m/>
    <n v="370000"/>
    <n v="370000"/>
    <n v="243.42105263157896"/>
    <n v="1520"/>
    <m/>
  </r>
  <r>
    <x v="40"/>
    <x v="2"/>
    <x v="6"/>
    <s v="Soldadura"/>
    <x v="3"/>
    <n v="2"/>
    <s v="rollo"/>
    <n v="80000"/>
    <n v="52.631578947368418"/>
    <n v="0"/>
    <s v="ARS"/>
    <m/>
    <n v="160000"/>
    <n v="160000"/>
    <n v="105.26315789473684"/>
    <n v="1520"/>
    <m/>
  </r>
  <r>
    <x v="40"/>
    <x v="2"/>
    <x v="20"/>
    <s v="Limpieza"/>
    <x v="7"/>
    <n v="5"/>
    <s v="unidad"/>
    <n v="3462.8"/>
    <n v="2.2781578947368422"/>
    <n v="0"/>
    <s v="ARS"/>
    <n v="0.21"/>
    <n v="17314"/>
    <n v="20949.939999999999"/>
    <n v="13.782855263157893"/>
    <n v="1520"/>
    <m/>
  </r>
  <r>
    <x v="40"/>
    <x v="2"/>
    <x v="21"/>
    <s v="Limpieza"/>
    <x v="7"/>
    <n v="15"/>
    <s v="paquete"/>
    <n v="611.57000000000005"/>
    <n v="0.40234868421052633"/>
    <n v="0"/>
    <s v="ARS"/>
    <n v="0.21"/>
    <n v="9173.5500000000011"/>
    <n v="11099.995500000001"/>
    <n v="7.3026286184210534"/>
    <n v="1520"/>
    <m/>
  </r>
  <r>
    <x v="40"/>
    <x v="2"/>
    <x v="22"/>
    <s v="Limpieza"/>
    <x v="7"/>
    <n v="10"/>
    <s v="paquete"/>
    <n v="1876.03"/>
    <n v="1.2342302631578947"/>
    <n v="0"/>
    <s v="ARS"/>
    <n v="0.21"/>
    <n v="18760.3"/>
    <n v="22699.963"/>
    <n v="14.934186184210526"/>
    <n v="1520"/>
    <m/>
  </r>
  <r>
    <x v="40"/>
    <x v="2"/>
    <x v="23"/>
    <s v="Limpieza"/>
    <x v="7"/>
    <n v="2"/>
    <s v="unidad"/>
    <n v="553.71"/>
    <n v="0.36428289473684211"/>
    <n v="0"/>
    <s v="ARS"/>
    <n v="0.21"/>
    <n v="1107.42"/>
    <n v="1339.9782"/>
    <n v="0.88156460526315794"/>
    <n v="1520"/>
    <m/>
  </r>
  <r>
    <x v="40"/>
    <x v="2"/>
    <x v="24"/>
    <s v="Limpieza"/>
    <x v="7"/>
    <n v="5"/>
    <s v="bidón"/>
    <n v="2933.88"/>
    <n v="1.9301842105263158"/>
    <n v="0"/>
    <s v="ARS"/>
    <n v="0.21"/>
    <n v="14669.400000000001"/>
    <n v="17749.974000000002"/>
    <n v="11.677614473684212"/>
    <n v="1520"/>
    <m/>
  </r>
  <r>
    <x v="40"/>
    <x v="2"/>
    <x v="25"/>
    <s v="Limpieza"/>
    <x v="7"/>
    <n v="1"/>
    <s v="unidad"/>
    <n v="2917.35"/>
    <n v="1.9193092105263156"/>
    <n v="0"/>
    <s v="ARS"/>
    <n v="0.21"/>
    <n v="2917.35"/>
    <n v="3529.9934999999996"/>
    <n v="2.3223641447368419"/>
    <n v="1520"/>
    <m/>
  </r>
  <r>
    <x v="40"/>
    <x v="2"/>
    <x v="26"/>
    <s v="Limpieza"/>
    <x v="7"/>
    <n v="1"/>
    <s v="bidón"/>
    <n v="9008.26"/>
    <n v="5.9264868421052634"/>
    <n v="0"/>
    <s v="ARS"/>
    <n v="0.21"/>
    <n v="9008.26"/>
    <n v="10899.9946"/>
    <n v="7.1710490789473686"/>
    <n v="1520"/>
    <m/>
  </r>
  <r>
    <x v="40"/>
    <x v="2"/>
    <x v="27"/>
    <s v="Limpieza"/>
    <x v="7"/>
    <n v="3"/>
    <s v="bidón"/>
    <n v="9000"/>
    <n v="5.9210526315789478"/>
    <n v="0"/>
    <s v="ARS"/>
    <n v="0.21"/>
    <n v="27000"/>
    <n v="32670"/>
    <n v="21.493421052631579"/>
    <n v="1520"/>
    <m/>
  </r>
  <r>
    <x v="40"/>
    <x v="2"/>
    <x v="115"/>
    <s v="Limpieza"/>
    <x v="7"/>
    <n v="2"/>
    <s v="bidón"/>
    <n v="3801.65"/>
    <n v="2.5010855263157894"/>
    <n v="0"/>
    <s v="ARS"/>
    <n v="0.21"/>
    <n v="7603.3"/>
    <n v="9199.9930000000004"/>
    <n v="6.0526269736842107"/>
    <n v="1520"/>
    <m/>
  </r>
  <r>
    <x v="40"/>
    <x v="2"/>
    <x v="77"/>
    <s v="Limpieza"/>
    <x v="7"/>
    <n v="1"/>
    <s v="bidón"/>
    <n v="14380.16"/>
    <n v="9.4606315789473676"/>
    <n v="0"/>
    <s v="ARS"/>
    <n v="0.21"/>
    <n v="14380.16"/>
    <n v="17399.993600000002"/>
    <n v="11.447364210526317"/>
    <n v="1520"/>
    <m/>
  </r>
  <r>
    <x v="40"/>
    <x v="2"/>
    <x v="116"/>
    <s v="Limpieza"/>
    <x v="7"/>
    <n v="2"/>
    <s v="unidad"/>
    <n v="12851.23"/>
    <n v="8.454756578947368"/>
    <n v="0"/>
    <s v="ARS"/>
    <n v="0.21"/>
    <n v="25702.46"/>
    <n v="31099.976599999998"/>
    <n v="20.460510921052631"/>
    <n v="1520"/>
    <m/>
  </r>
  <r>
    <x v="40"/>
    <x v="2"/>
    <x v="28"/>
    <s v="Limpieza"/>
    <x v="7"/>
    <n v="1"/>
    <s v="unidad"/>
    <n v="743.8"/>
    <n v="0.48934210526315786"/>
    <n v="0"/>
    <s v="ARS"/>
    <n v="0.21"/>
    <n v="743.8"/>
    <n v="899.99799999999993"/>
    <n v="0.59210394736842098"/>
    <n v="1520"/>
    <m/>
  </r>
  <r>
    <x v="40"/>
    <x v="2"/>
    <x v="29"/>
    <s v="Limpieza"/>
    <x v="7"/>
    <n v="1"/>
    <s v="unidad"/>
    <n v="1661.15"/>
    <n v="1.0928618421052632"/>
    <n v="0"/>
    <s v="ARS"/>
    <n v="0.21"/>
    <n v="1661.15"/>
    <n v="2009.9915000000001"/>
    <n v="1.3223628289473686"/>
    <n v="1520"/>
    <m/>
  </r>
  <r>
    <x v="40"/>
    <x v="2"/>
    <x v="30"/>
    <s v="Limpieza"/>
    <x v="7"/>
    <n v="11"/>
    <s v="unidad"/>
    <n v="5099.17"/>
    <n v="3.3547171052631581"/>
    <n v="0"/>
    <s v="ARS"/>
    <n v="0.21"/>
    <n v="56090.87"/>
    <n v="67869.952700000009"/>
    <n v="44.651284671052636"/>
    <n v="1520"/>
    <m/>
  </r>
  <r>
    <x v="40"/>
    <x v="2"/>
    <x v="78"/>
    <s v="Limpieza"/>
    <x v="7"/>
    <n v="2"/>
    <s v="unidad"/>
    <n v="46826.44"/>
    <n v="30.806868421052634"/>
    <n v="0"/>
    <s v="ARS"/>
    <n v="0.21"/>
    <n v="93652.88"/>
    <n v="113319.98480000001"/>
    <n v="74.552621578947367"/>
    <n v="1520"/>
    <m/>
  </r>
  <r>
    <x v="40"/>
    <x v="2"/>
    <x v="78"/>
    <s v="Limpieza"/>
    <x v="7"/>
    <n v="3"/>
    <s v="unidad"/>
    <n v="14553.71"/>
    <n v="9.5748092105263147"/>
    <n v="0"/>
    <s v="ARS"/>
    <n v="0.21"/>
    <n v="43661.13"/>
    <n v="52829.967299999997"/>
    <n v="34.756557434210521"/>
    <n v="1520"/>
    <m/>
  </r>
  <r>
    <x v="40"/>
    <x v="2"/>
    <x v="31"/>
    <s v="Limpieza"/>
    <x v="7"/>
    <n v="3"/>
    <s v="unidad"/>
    <n v="719"/>
    <n v="0.47302631578947368"/>
    <n v="0"/>
    <s v="ARS"/>
    <n v="0.21"/>
    <n v="2157"/>
    <n v="2609.9699999999998"/>
    <n v="1.7170855263157894"/>
    <n v="1520"/>
    <m/>
  </r>
  <r>
    <x v="41"/>
    <x v="2"/>
    <x v="57"/>
    <s v="Embalaje"/>
    <x v="26"/>
    <n v="30"/>
    <s v="kg"/>
    <n v="7620"/>
    <n v="5.0131578947368425"/>
    <n v="0"/>
    <s v="ARS"/>
    <n v="0.21"/>
    <n v="228600"/>
    <n v="276606"/>
    <n v="181.97763157894738"/>
    <n v="152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  <r>
    <x v="42"/>
    <x v="3"/>
    <x v="117"/>
    <n v="0"/>
    <x v="35"/>
    <m/>
    <m/>
    <m/>
    <e v="#DIV/0!"/>
    <m/>
    <m/>
    <m/>
    <n v="0"/>
    <n v="0"/>
    <e v="#DIV/0!"/>
    <n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">
  <r>
    <x v="0"/>
    <x v="0"/>
    <x v="0"/>
    <x v="0"/>
    <s v="Mad Packaging"/>
    <n v="185"/>
    <s v="kg"/>
    <n v="4528"/>
    <n v="3.222775800711744"/>
    <n v="0"/>
    <s v="ARS"/>
    <n v="0.21"/>
    <n v="837680"/>
    <n v="1013592.8"/>
    <n v="721.4183629893239"/>
    <n v="1405"/>
    <m/>
  </r>
  <r>
    <x v="1"/>
    <x v="0"/>
    <x v="1"/>
    <x v="1"/>
    <s v="Zicari Mariana Elena"/>
    <n v="10"/>
    <s v="unidad"/>
    <n v="5900"/>
    <n v="4.154929577464789"/>
    <n v="0"/>
    <s v="ARS"/>
    <n v="0.21"/>
    <n v="59000"/>
    <n v="71390"/>
    <n v="50.274647887323944"/>
    <n v="1420"/>
    <m/>
  </r>
  <r>
    <x v="1"/>
    <x v="0"/>
    <x v="2"/>
    <x v="1"/>
    <s v="Zicari Mariana Elena"/>
    <n v="4"/>
    <s v="unidad"/>
    <n v="15225"/>
    <n v="10.721830985915492"/>
    <n v="0.15"/>
    <s v="ARS"/>
    <n v="0.21"/>
    <n v="51765"/>
    <n v="62635.65"/>
    <n v="44.109612676056337"/>
    <n v="1420"/>
    <m/>
  </r>
  <r>
    <x v="2"/>
    <x v="0"/>
    <x v="3"/>
    <x v="2"/>
    <s v="Distribuidora Tubulón"/>
    <n v="100800"/>
    <s v="unidad"/>
    <n v="18.783760000000001"/>
    <n v="1.332181560283688E-2"/>
    <n v="0.15379999999999999"/>
    <s v="ARS"/>
    <n v="0.21"/>
    <n v="1602197.6253696003"/>
    <n v="1938659.1266972162"/>
    <n v="1374.9355508490894"/>
    <n v="1410"/>
    <m/>
  </r>
  <r>
    <x v="2"/>
    <x v="0"/>
    <x v="4"/>
    <x v="2"/>
    <s v="Distribuidora Tubulón"/>
    <n v="30800"/>
    <s v="unidad"/>
    <n v="38.913679999999999"/>
    <n v="2.7598354609929078E-2"/>
    <n v="0.15379999999999999"/>
    <s v="ARS"/>
    <n v="0.21"/>
    <n v="1014205.6852928001"/>
    <n v="1227188.8792042881"/>
    <n v="870.34672283992063"/>
    <n v="1410"/>
    <m/>
  </r>
  <r>
    <x v="2"/>
    <x v="0"/>
    <x v="5"/>
    <x v="3"/>
    <s v="Roberto Gustavo Q."/>
    <n v="30"/>
    <s v="m3"/>
    <n v="17500"/>
    <n v="12.411347517730496"/>
    <n v="0"/>
    <s v="ARS"/>
    <m/>
    <n v="525000"/>
    <n v="525000"/>
    <n v="372.34042553191489"/>
    <n v="1410"/>
    <m/>
  </r>
  <r>
    <x v="2"/>
    <x v="0"/>
    <x v="6"/>
    <x v="3"/>
    <s v="Roberto Gustavo Q."/>
    <n v="1"/>
    <s v="rollo"/>
    <n v="80000"/>
    <n v="56.737588652482266"/>
    <n v="0"/>
    <s v="ARS"/>
    <m/>
    <n v="80000"/>
    <n v="80000"/>
    <n v="56.737588652482266"/>
    <n v="1410"/>
    <m/>
  </r>
  <r>
    <x v="3"/>
    <x v="0"/>
    <x v="7"/>
    <x v="4"/>
    <s v="Esdevi - Valeria"/>
    <n v="8"/>
    <s v="bolsa"/>
    <n v="7300"/>
    <n v="5.1228070175438596"/>
    <n v="0"/>
    <s v="ARS"/>
    <m/>
    <n v="58400"/>
    <n v="58400"/>
    <n v="40.982456140350877"/>
    <n v="1425"/>
    <m/>
  </r>
  <r>
    <x v="3"/>
    <x v="0"/>
    <x v="8"/>
    <x v="4"/>
    <s v="Esdevi - Valeria"/>
    <n v="7"/>
    <s v="bolsa"/>
    <n v="9900"/>
    <n v="6.9473684210526319"/>
    <n v="0"/>
    <s v="ARS"/>
    <m/>
    <n v="69300"/>
    <n v="69300"/>
    <n v="48.631578947368418"/>
    <n v="1425"/>
    <m/>
  </r>
  <r>
    <x v="3"/>
    <x v="0"/>
    <x v="9"/>
    <x v="5"/>
    <s v="Tech Safe"/>
    <n v="24"/>
    <s v="par"/>
    <n v="600"/>
    <n v="0.42105263157894735"/>
    <n v="0"/>
    <s v="ARS"/>
    <n v="0.21"/>
    <n v="14400"/>
    <n v="17424"/>
    <n v="12.227368421052631"/>
    <n v="1425"/>
    <m/>
  </r>
  <r>
    <x v="3"/>
    <x v="0"/>
    <x v="10"/>
    <x v="5"/>
    <s v="Tech Safe"/>
    <n v="24"/>
    <s v="par"/>
    <n v="600"/>
    <n v="0.42105263157894735"/>
    <n v="0"/>
    <s v="ARS"/>
    <n v="0.21"/>
    <n v="14400"/>
    <n v="17424"/>
    <n v="12.227368421052631"/>
    <n v="1425"/>
    <m/>
  </r>
  <r>
    <x v="3"/>
    <x v="0"/>
    <x v="11"/>
    <x v="5"/>
    <s v="Tech Safe"/>
    <n v="12"/>
    <s v="par"/>
    <n v="4295"/>
    <n v="3.0140350877192983"/>
    <n v="0"/>
    <s v="ARS"/>
    <n v="0.21"/>
    <n v="51540"/>
    <n v="62363.4"/>
    <n v="43.763789473684213"/>
    <n v="1425"/>
    <m/>
  </r>
  <r>
    <x v="4"/>
    <x v="0"/>
    <x v="12"/>
    <x v="2"/>
    <s v="Disur"/>
    <n v="63.5"/>
    <s v="kg"/>
    <n v="4800"/>
    <n v="3.3566433566433567"/>
    <n v="0"/>
    <s v="ARS"/>
    <n v="0.21"/>
    <n v="304800"/>
    <n v="368808"/>
    <n v="257.90769230769229"/>
    <n v="1430"/>
    <m/>
  </r>
  <r>
    <x v="4"/>
    <x v="0"/>
    <x v="13"/>
    <x v="2"/>
    <s v="Disur"/>
    <n v="50"/>
    <s v="kg"/>
    <n v="4185"/>
    <n v="2.9265734265734267"/>
    <n v="0"/>
    <s v="ARS"/>
    <n v="0.21"/>
    <n v="209250"/>
    <n v="253192.5"/>
    <n v="177.05769230769232"/>
    <n v="1430"/>
    <m/>
  </r>
  <r>
    <x v="4"/>
    <x v="0"/>
    <x v="14"/>
    <x v="2"/>
    <s v="Disur"/>
    <n v="35"/>
    <s v="kg"/>
    <n v="4890"/>
    <n v="3.4195804195804196"/>
    <n v="0"/>
    <s v="ARS"/>
    <n v="0.21"/>
    <n v="171150"/>
    <n v="207091.5"/>
    <n v="144.81923076923076"/>
    <n v="1430"/>
    <m/>
  </r>
  <r>
    <x v="4"/>
    <x v="0"/>
    <x v="15"/>
    <x v="2"/>
    <s v="Disur"/>
    <n v="10000"/>
    <s v="unidad"/>
    <n v="29.2"/>
    <n v="2.0419580419580419E-2"/>
    <n v="0"/>
    <s v="ARS"/>
    <n v="0.21"/>
    <n v="292000"/>
    <n v="353320"/>
    <n v="247.07692307692307"/>
    <n v="1430"/>
    <m/>
  </r>
  <r>
    <x v="4"/>
    <x v="0"/>
    <x v="16"/>
    <x v="2"/>
    <s v="Disur"/>
    <n v="60000"/>
    <s v="unidad"/>
    <n v="27.97"/>
    <n v="1.9559440559440557E-2"/>
    <n v="0"/>
    <s v="ARS"/>
    <n v="0.21"/>
    <n v="1678200"/>
    <n v="2030622"/>
    <n v="1420.0153846153846"/>
    <n v="1430"/>
    <m/>
  </r>
  <r>
    <x v="4"/>
    <x v="0"/>
    <x v="17"/>
    <x v="2"/>
    <s v="Disur"/>
    <n v="20000"/>
    <s v="unidad"/>
    <n v="12.5"/>
    <n v="8.7412587412587419E-3"/>
    <n v="0"/>
    <s v="ARS"/>
    <n v="0.21"/>
    <n v="250000"/>
    <n v="302500"/>
    <n v="211.53846153846155"/>
    <n v="1430"/>
    <m/>
  </r>
  <r>
    <x v="4"/>
    <x v="0"/>
    <x v="18"/>
    <x v="2"/>
    <s v="Disur"/>
    <n v="6800"/>
    <s v="unidad"/>
    <n v="26"/>
    <n v="1.8181818181818181E-2"/>
    <n v="0"/>
    <s v="ARS"/>
    <n v="0.21"/>
    <n v="176800"/>
    <n v="213928"/>
    <n v="149.6"/>
    <n v="1430"/>
    <m/>
  </r>
  <r>
    <x v="4"/>
    <x v="0"/>
    <x v="19"/>
    <x v="2"/>
    <s v="Disur"/>
    <n v="6000"/>
    <s v="unidad"/>
    <n v="18.600000000000001"/>
    <n v="1.3006993006993008E-2"/>
    <n v="0"/>
    <s v="ARS"/>
    <n v="0.21"/>
    <n v="111600.00000000001"/>
    <n v="135036.00000000003"/>
    <n v="94.430769230769258"/>
    <n v="1430"/>
    <m/>
  </r>
  <r>
    <x v="4"/>
    <x v="0"/>
    <x v="20"/>
    <x v="4"/>
    <s v="Imperio de la Limpieza"/>
    <n v="10"/>
    <s v="unidad"/>
    <n v="3619.83"/>
    <n v="2.5313496503496502"/>
    <n v="0"/>
    <s v="ARS"/>
    <n v="0.21"/>
    <n v="36198.300000000003"/>
    <n v="43799.942999999999"/>
    <n v="30.629330769230769"/>
    <n v="1430"/>
    <m/>
  </r>
  <r>
    <x v="4"/>
    <x v="0"/>
    <x v="21"/>
    <x v="4"/>
    <s v="Imperio de la Limpieza"/>
    <n v="130"/>
    <s v="unidad"/>
    <n v="61.157000000000004"/>
    <n v="4.2767132867132872E-2"/>
    <n v="0"/>
    <s v="ARS"/>
    <n v="0.21"/>
    <n v="7950.4100000000008"/>
    <n v="9619.9961000000003"/>
    <n v="6.7272699999999999"/>
    <n v="1430"/>
    <m/>
  </r>
  <r>
    <x v="4"/>
    <x v="0"/>
    <x v="22"/>
    <x v="4"/>
    <s v="Imperio de la Limpieza"/>
    <n v="110"/>
    <s v="unidad"/>
    <n v="187.60300000000001"/>
    <n v="0.13119090909090911"/>
    <n v="0"/>
    <s v="ARS"/>
    <n v="0.21"/>
    <n v="20636.330000000002"/>
    <n v="24969.959300000002"/>
    <n v="17.461510000000001"/>
    <n v="1430"/>
    <m/>
  </r>
  <r>
    <x v="4"/>
    <x v="0"/>
    <x v="23"/>
    <x v="4"/>
    <s v="Imperio de la Limpieza"/>
    <n v="6"/>
    <s v="unidad"/>
    <n v="520.66"/>
    <n v="0.36409790209790205"/>
    <n v="0"/>
    <s v="ARS"/>
    <n v="0.21"/>
    <n v="3123.96"/>
    <n v="3779.9916000000003"/>
    <n v="2.6433507692307696"/>
    <n v="1430"/>
    <m/>
  </r>
  <r>
    <x v="4"/>
    <x v="0"/>
    <x v="24"/>
    <x v="4"/>
    <s v="Imperio de la Limpieza"/>
    <n v="5"/>
    <s v="litro"/>
    <n v="561.98199999999997"/>
    <n v="0.39299440559440557"/>
    <n v="0"/>
    <s v="ARS"/>
    <n v="0.21"/>
    <n v="2809.91"/>
    <n v="3399.9910999999997"/>
    <n v="2.3776161538461538"/>
    <n v="1430"/>
    <m/>
  </r>
  <r>
    <x v="4"/>
    <x v="0"/>
    <x v="25"/>
    <x v="4"/>
    <s v="Imperio de la Limpieza"/>
    <n v="1"/>
    <s v="unidad"/>
    <n v="2917.35"/>
    <n v="2.040104895104895"/>
    <n v="0"/>
    <s v="ARS"/>
    <n v="0.21"/>
    <n v="2917.35"/>
    <n v="3529.9934999999996"/>
    <n v="2.4685269230769227"/>
    <n v="1430"/>
    <m/>
  </r>
  <r>
    <x v="4"/>
    <x v="0"/>
    <x v="26"/>
    <x v="4"/>
    <s v="Imperio de la Limpieza"/>
    <n v="5"/>
    <s v="litro"/>
    <n v="1692.56"/>
    <n v="1.1836083916083915"/>
    <n v="0"/>
    <s v="ARS"/>
    <n v="0.21"/>
    <n v="8462.7999999999993"/>
    <n v="10239.987999999999"/>
    <n v="7.1608307692307687"/>
    <n v="1430"/>
    <m/>
  </r>
  <r>
    <x v="4"/>
    <x v="0"/>
    <x v="27"/>
    <x v="4"/>
    <s v="Imperio de la Limpieza"/>
    <n v="5"/>
    <s v="litro"/>
    <n v="1647.932"/>
    <n v="1.1524000000000001"/>
    <n v="0"/>
    <s v="ARS"/>
    <n v="0.21"/>
    <n v="8239.66"/>
    <n v="9969.9886000000006"/>
    <n v="6.9720200000000006"/>
    <n v="1430"/>
    <m/>
  </r>
  <r>
    <x v="4"/>
    <x v="0"/>
    <x v="28"/>
    <x v="4"/>
    <s v="Imperio de la Limpieza"/>
    <n v="2"/>
    <s v="unidad"/>
    <n v="710.74"/>
    <n v="0.49702097902097903"/>
    <n v="0"/>
    <s v="ARS"/>
    <n v="0.21"/>
    <n v="1421.48"/>
    <n v="1719.9908"/>
    <n v="1.2027907692307693"/>
    <n v="1430"/>
    <m/>
  </r>
  <r>
    <x v="4"/>
    <x v="0"/>
    <x v="29"/>
    <x v="4"/>
    <s v="Imperio de la Limpieza"/>
    <n v="4"/>
    <s v="unidad"/>
    <n v="1661.15"/>
    <n v="1.1616433566433566"/>
    <n v="0"/>
    <s v="ARS"/>
    <n v="0.21"/>
    <n v="6644.6"/>
    <n v="8039.9660000000003"/>
    <n v="5.622353846153846"/>
    <n v="1430"/>
    <m/>
  </r>
  <r>
    <x v="4"/>
    <x v="0"/>
    <x v="30"/>
    <x v="4"/>
    <s v="Imperio de la Limpieza"/>
    <n v="7"/>
    <s v="unidad"/>
    <n v="4818.18"/>
    <n v="3.3693566433566438"/>
    <n v="0"/>
    <s v="ARS"/>
    <n v="0.21"/>
    <n v="33727.26"/>
    <n v="40809.984600000003"/>
    <n v="28.538450769230771"/>
    <n v="1430"/>
    <m/>
  </r>
  <r>
    <x v="4"/>
    <x v="0"/>
    <x v="31"/>
    <x v="4"/>
    <s v="Imperio de la Limpieza"/>
    <n v="2"/>
    <s v="unidad"/>
    <n v="719"/>
    <n v="0.50279720279720275"/>
    <n v="0"/>
    <s v="ARS"/>
    <n v="0.21"/>
    <n v="1438"/>
    <n v="1739.98"/>
    <n v="1.2167692307692308"/>
    <n v="1430"/>
    <m/>
  </r>
  <r>
    <x v="5"/>
    <x v="0"/>
    <x v="32"/>
    <x v="6"/>
    <s v="MTZ"/>
    <n v="726"/>
    <s v="unidad"/>
    <n v="517"/>
    <n v="0.36153846153846153"/>
    <n v="0"/>
    <s v="ARS"/>
    <m/>
    <n v="375342"/>
    <n v="375342"/>
    <n v="262.47692307692307"/>
    <n v="1430"/>
    <m/>
  </r>
  <r>
    <x v="5"/>
    <x v="0"/>
    <x v="33"/>
    <x v="6"/>
    <s v="MTZ"/>
    <n v="1800"/>
    <s v="unidad"/>
    <n v="620"/>
    <n v="0.43356643356643354"/>
    <n v="0"/>
    <s v="ARS"/>
    <m/>
    <n v="1116000"/>
    <n v="1116000"/>
    <n v="780.41958041958037"/>
    <n v="1430"/>
    <m/>
  </r>
  <r>
    <x v="6"/>
    <x v="0"/>
    <x v="34"/>
    <x v="0"/>
    <s v="Pallets Buenos Aires"/>
    <n v="20"/>
    <s v="unidad"/>
    <n v="6500"/>
    <n v="4.5454545454545459"/>
    <n v="0"/>
    <s v="ARS"/>
    <n v="0.21"/>
    <n v="130000"/>
    <n v="157300"/>
    <n v="110"/>
    <n v="1430"/>
    <m/>
  </r>
  <r>
    <x v="6"/>
    <x v="0"/>
    <x v="0"/>
    <x v="0"/>
    <s v="Mad Packaging"/>
    <n v="187"/>
    <s v="kg"/>
    <n v="4592"/>
    <n v="3.2111888111888112"/>
    <n v="0"/>
    <s v="ARS"/>
    <n v="0.21"/>
    <n v="858704"/>
    <n v="1039031.84"/>
    <n v="726.59569230769227"/>
    <n v="1430"/>
    <s v="Tomaron TC 1435"/>
  </r>
  <r>
    <x v="6"/>
    <x v="0"/>
    <x v="35"/>
    <x v="0"/>
    <s v="Mad Packaging"/>
    <n v="31"/>
    <s v="kg"/>
    <n v="4547.6000000000004"/>
    <n v="3.1801398601398603"/>
    <n v="0"/>
    <s v="ARS"/>
    <n v="0.21"/>
    <n v="140975.6"/>
    <n v="170580.476"/>
    <n v="119.28704615384615"/>
    <n v="1430"/>
    <m/>
  </r>
  <r>
    <x v="6"/>
    <x v="0"/>
    <x v="36"/>
    <x v="0"/>
    <s v="Adamat"/>
    <n v="20"/>
    <s v="bolsa"/>
    <n v="22056.94"/>
    <n v="15.424433566433565"/>
    <n v="0.4"/>
    <s v="ARS"/>
    <n v="0.21"/>
    <n v="264683.27999999997"/>
    <n v="320266.76879999996"/>
    <n v="223.96277538461536"/>
    <n v="1430"/>
    <m/>
  </r>
  <r>
    <x v="6"/>
    <x v="0"/>
    <x v="37"/>
    <x v="5"/>
    <s v="Roguant"/>
    <n v="2"/>
    <s v="unidad"/>
    <n v="3961.1"/>
    <n v="2.77"/>
    <n v="0"/>
    <s v="ARS"/>
    <n v="0.21"/>
    <n v="7922.2"/>
    <n v="9585.8619999999992"/>
    <n v="6.7033999999999994"/>
    <n v="1430"/>
    <m/>
  </r>
  <r>
    <x v="6"/>
    <x v="0"/>
    <x v="38"/>
    <x v="5"/>
    <s v="Roguant"/>
    <n v="2"/>
    <s v="unidad"/>
    <n v="6306.3"/>
    <n v="4.41"/>
    <n v="0"/>
    <s v="ARS"/>
    <n v="0.21"/>
    <n v="12612.6"/>
    <n v="15261.246000000001"/>
    <n v="10.6722"/>
    <n v="1430"/>
    <m/>
  </r>
  <r>
    <x v="7"/>
    <x v="0"/>
    <x v="5"/>
    <x v="3"/>
    <s v="Roberto Gustavo Q."/>
    <n v="10"/>
    <s v="m3"/>
    <n v="17500"/>
    <n v="12.237762237762238"/>
    <n v="0"/>
    <s v="ARS"/>
    <m/>
    <n v="175000"/>
    <n v="175000"/>
    <n v="122.37762237762237"/>
    <n v="1430"/>
    <m/>
  </r>
  <r>
    <x v="7"/>
    <x v="0"/>
    <x v="6"/>
    <x v="3"/>
    <s v="Roberto Gustavo Q."/>
    <n v="2"/>
    <s v="rollo"/>
    <n v="80000"/>
    <n v="55.944055944055947"/>
    <n v="0"/>
    <s v="ARS"/>
    <m/>
    <n v="160000"/>
    <n v="160000"/>
    <n v="111.88811188811189"/>
    <n v="1430"/>
    <m/>
  </r>
  <r>
    <x v="8"/>
    <x v="1"/>
    <x v="32"/>
    <x v="6"/>
    <s v="MTZ"/>
    <n v="726"/>
    <s v="unidad"/>
    <n v="517"/>
    <n v="0.35778546712802767"/>
    <n v="0"/>
    <s v="ARS"/>
    <m/>
    <n v="375342"/>
    <n v="375342"/>
    <n v="259.7522491349481"/>
    <n v="1445"/>
    <s v="NC"/>
  </r>
  <r>
    <x v="9"/>
    <x v="1"/>
    <x v="39"/>
    <x v="3"/>
    <s v="Roberto Gustavo Q."/>
    <n v="30"/>
    <s v="m3"/>
    <n v="4500"/>
    <n v="3.103448275862069"/>
    <n v="0"/>
    <s v="ARS"/>
    <m/>
    <n v="135000"/>
    <n v="135000"/>
    <n v="93.103448275862064"/>
    <n v="1450"/>
    <m/>
  </r>
  <r>
    <x v="9"/>
    <x v="1"/>
    <x v="11"/>
    <x v="5"/>
    <s v="Roguant"/>
    <n v="24"/>
    <s v="par"/>
    <n v="4147"/>
    <n v="2.86"/>
    <n v="0"/>
    <s v="ARS"/>
    <n v="0.21"/>
    <n v="99528"/>
    <n v="120428.88"/>
    <n v="83.054400000000001"/>
    <n v="1450"/>
    <m/>
  </r>
  <r>
    <x v="10"/>
    <x v="1"/>
    <x v="9"/>
    <x v="5"/>
    <s v="Tech Safe"/>
    <n v="24"/>
    <s v="par"/>
    <n v="637"/>
    <n v="0.43630136986301371"/>
    <n v="0"/>
    <s v="ARS"/>
    <n v="0.21"/>
    <n v="15288"/>
    <n v="18498.48"/>
    <n v="12.670191780821918"/>
    <n v="1460"/>
    <m/>
  </r>
  <r>
    <x v="10"/>
    <x v="1"/>
    <x v="10"/>
    <x v="5"/>
    <s v="Tech Safe"/>
    <n v="24"/>
    <s v="par"/>
    <n v="637"/>
    <n v="0.43630136986301371"/>
    <n v="0"/>
    <s v="ARS"/>
    <n v="0.21"/>
    <n v="15288"/>
    <n v="18498.48"/>
    <n v="12.670191780821918"/>
    <n v="1460"/>
    <m/>
  </r>
  <r>
    <x v="10"/>
    <x v="1"/>
    <x v="40"/>
    <x v="0"/>
    <s v="Aserradero Alonso"/>
    <n v="400"/>
    <s v="unidad"/>
    <n v="1659.6636000000001"/>
    <n v="1.1367558904109589"/>
    <n v="0.1"/>
    <s v="ARS"/>
    <n v="0.21"/>
    <n v="597478.89599999995"/>
    <n v="722949.46415999997"/>
    <n v="495.17086586301366"/>
    <n v="1460"/>
    <s v="Para Guillón"/>
  </r>
  <r>
    <x v="10"/>
    <x v="1"/>
    <x v="41"/>
    <x v="7"/>
    <s v="Alpamet"/>
    <n v="2"/>
    <s v="unidad"/>
    <n v="28000"/>
    <n v="19.17808219178082"/>
    <n v="0.1"/>
    <s v="ARS"/>
    <n v="0.21"/>
    <n v="50400"/>
    <n v="60984"/>
    <n v="41.769863013698632"/>
    <n v="1460"/>
    <m/>
  </r>
  <r>
    <x v="10"/>
    <x v="1"/>
    <x v="42"/>
    <x v="7"/>
    <s v="Alpamet"/>
    <n v="1"/>
    <s v="unidad"/>
    <n v="59500"/>
    <n v="40.753424657534246"/>
    <n v="0"/>
    <s v="ARS"/>
    <n v="0.21"/>
    <n v="59500"/>
    <n v="71995"/>
    <n v="49.311643835616437"/>
    <n v="1460"/>
    <m/>
  </r>
  <r>
    <x v="11"/>
    <x v="1"/>
    <x v="43"/>
    <x v="8"/>
    <s v="Metrochain"/>
    <n v="400"/>
    <s v="m"/>
    <n v="2170"/>
    <n v="1.4863013698630136"/>
    <n v="0"/>
    <s v="ARS"/>
    <n v="0.21"/>
    <n v="868000"/>
    <n v="1050280"/>
    <n v="719.36986301369859"/>
    <n v="1460"/>
    <m/>
  </r>
  <r>
    <x v="11"/>
    <x v="1"/>
    <x v="44"/>
    <x v="0"/>
    <s v="Aserradero Alonso"/>
    <n v="300"/>
    <s v="unidad"/>
    <n v="1151.7874999999999"/>
    <n v="0.78889554794520544"/>
    <n v="0.1"/>
    <s v="ARS"/>
    <n v="0.21"/>
    <n v="310982.62499999994"/>
    <n v="376288.97624999995"/>
    <n v="257.73217551369862"/>
    <n v="1460"/>
    <m/>
  </r>
  <r>
    <x v="11"/>
    <x v="1"/>
    <x v="45"/>
    <x v="0"/>
    <s v="Aserradero Alonso"/>
    <n v="200"/>
    <s v="unidad"/>
    <n v="814.51900000000001"/>
    <n v="0.55788972602739728"/>
    <n v="0.1"/>
    <s v="ARS"/>
    <n v="0.21"/>
    <n v="146613.41999999998"/>
    <n v="177402.23819999996"/>
    <n v="121.5083823287671"/>
    <n v="1460"/>
    <m/>
  </r>
  <r>
    <x v="11"/>
    <x v="1"/>
    <x v="46"/>
    <x v="2"/>
    <s v="Dusvar"/>
    <n v="1000"/>
    <s v="unidad"/>
    <n v="450"/>
    <n v="0.30821917808219179"/>
    <n v="0"/>
    <s v="ARS"/>
    <n v="0.21"/>
    <n v="450000"/>
    <n v="544500"/>
    <n v="372.94520547945206"/>
    <n v="1460"/>
    <m/>
  </r>
  <r>
    <x v="11"/>
    <x v="1"/>
    <x v="47"/>
    <x v="2"/>
    <s v="Dusvar"/>
    <n v="1500"/>
    <s v="unidad"/>
    <n v="717"/>
    <n v="0.49109589041095891"/>
    <n v="0"/>
    <s v="ARS"/>
    <n v="0.21"/>
    <n v="1075500"/>
    <n v="1301355"/>
    <n v="891.33904109589037"/>
    <n v="1460"/>
    <m/>
  </r>
  <r>
    <x v="12"/>
    <x v="1"/>
    <x v="48"/>
    <x v="3"/>
    <s v="Diprov"/>
    <n v="7"/>
    <s v="unidad"/>
    <n v="3212"/>
    <n v="2.1924914675767919"/>
    <n v="0"/>
    <s v="ARS"/>
    <n v="0.21"/>
    <n v="22484"/>
    <n v="27205.64"/>
    <n v="18.570402730375427"/>
    <n v="1465"/>
    <m/>
  </r>
  <r>
    <x v="12"/>
    <x v="1"/>
    <x v="3"/>
    <x v="2"/>
    <s v="Distribuidora Tubulón"/>
    <n v="100800"/>
    <s v="unidad"/>
    <n v="19.379020000000001"/>
    <n v="1.3228E-2"/>
    <n v="0.15379999999999999"/>
    <s v="ARS"/>
    <n v="0.21"/>
    <n v="1652971.4937791999"/>
    <n v="2000095.5074728318"/>
    <n v="1365.2529061247999"/>
    <n v="1465"/>
    <m/>
  </r>
  <r>
    <x v="13"/>
    <x v="1"/>
    <x v="36"/>
    <x v="0"/>
    <s v="Adamat"/>
    <n v="12"/>
    <s v="bolsa"/>
    <n v="22056.94"/>
    <n v="15.107493150684931"/>
    <n v="0.4"/>
    <s v="ARS"/>
    <n v="0.21"/>
    <n v="158809.96799999999"/>
    <n v="192160.06127999999"/>
    <n v="131.61648032876712"/>
    <n v="1460"/>
    <m/>
  </r>
  <r>
    <x v="13"/>
    <x v="1"/>
    <x v="49"/>
    <x v="0"/>
    <s v="Adamat"/>
    <n v="5"/>
    <s v="bolsa"/>
    <n v="27888.080000000002"/>
    <n v="19.101424657534249"/>
    <n v="0.4"/>
    <s v="ARS"/>
    <n v="0.21"/>
    <n v="83664.239999999991"/>
    <n v="101233.73039999999"/>
    <n v="69.338171506849307"/>
    <n v="1460"/>
    <m/>
  </r>
  <r>
    <x v="13"/>
    <x v="1"/>
    <x v="36"/>
    <x v="0"/>
    <s v="Adamat"/>
    <n v="8"/>
    <s v="bolsa"/>
    <n v="22056.94"/>
    <n v="15.107493150684931"/>
    <n v="0.4"/>
    <s v="ARS"/>
    <n v="0.21"/>
    <n v="105873.31199999999"/>
    <n v="128106.70752"/>
    <n v="87.744320219178078"/>
    <n v="1460"/>
    <m/>
  </r>
  <r>
    <x v="13"/>
    <x v="1"/>
    <x v="50"/>
    <x v="8"/>
    <s v="Casanova"/>
    <n v="1000"/>
    <s v="kg"/>
    <n v="1748.9"/>
    <n v="1.1978767123287672"/>
    <n v="0"/>
    <s v="ARS"/>
    <n v="0.21"/>
    <n v="1748900"/>
    <n v="2116169"/>
    <n v="1449.4308219178083"/>
    <n v="1460"/>
    <m/>
  </r>
  <r>
    <x v="13"/>
    <x v="1"/>
    <x v="51"/>
    <x v="8"/>
    <s v="Casanova"/>
    <n v="1000"/>
    <s v="kg"/>
    <n v="1718.69"/>
    <n v="1.1771849315068494"/>
    <n v="0"/>
    <s v="ARS"/>
    <n v="0.21"/>
    <n v="1718690"/>
    <n v="2079614.9"/>
    <n v="1424.3937671232877"/>
    <n v="1460"/>
    <m/>
  </r>
  <r>
    <x v="13"/>
    <x v="1"/>
    <x v="52"/>
    <x v="8"/>
    <s v="Casanova"/>
    <n v="1000"/>
    <s v="kg"/>
    <n v="2357.02"/>
    <n v="1.6143972602739727"/>
    <n v="0"/>
    <s v="ARS"/>
    <n v="0.21"/>
    <n v="2357020"/>
    <n v="2851994.2"/>
    <n v="1953.4206849315069"/>
    <n v="1460"/>
    <m/>
  </r>
  <r>
    <x v="13"/>
    <x v="1"/>
    <x v="0"/>
    <x v="0"/>
    <s v="Mad Packaging"/>
    <n v="279"/>
    <s v="kg"/>
    <n v="4672"/>
    <n v="3.2"/>
    <n v="0"/>
    <s v="ARS"/>
    <n v="0.21"/>
    <n v="1303488"/>
    <n v="1577220.48"/>
    <n v="1080.288"/>
    <n v="1460"/>
    <m/>
  </r>
  <r>
    <x v="13"/>
    <x v="1"/>
    <x v="53"/>
    <x v="0"/>
    <s v="Mad Packaging"/>
    <n v="50"/>
    <s v="unidad"/>
    <n v="990"/>
    <n v="0.67808219178082196"/>
    <n v="0"/>
    <s v="ARS"/>
    <n v="0.21"/>
    <n v="49500"/>
    <n v="59895"/>
    <n v="41.023972602739725"/>
    <n v="1460"/>
    <m/>
  </r>
  <r>
    <x v="13"/>
    <x v="1"/>
    <x v="54"/>
    <x v="1"/>
    <s v="Librería Maya"/>
    <n v="1"/>
    <s v="unidad"/>
    <n v="36948.550000000003"/>
    <n v="25.307226027397263"/>
    <n v="0"/>
    <s v="ARS"/>
    <n v="0.21"/>
    <n v="36948.550000000003"/>
    <n v="44707.745500000005"/>
    <n v="30.621743493150689"/>
    <n v="1460"/>
    <m/>
  </r>
  <r>
    <x v="14"/>
    <x v="1"/>
    <x v="55"/>
    <x v="0"/>
    <s v="Mad Packaging"/>
    <n v="5"/>
    <s v="rollo"/>
    <n v="20769"/>
    <n v="14.274226804123712"/>
    <n v="0"/>
    <s v="ARS"/>
    <n v="0.21"/>
    <n v="103845"/>
    <n v="125652.45"/>
    <n v="86.359072164948458"/>
    <n v="1455"/>
    <m/>
  </r>
  <r>
    <x v="14"/>
    <x v="1"/>
    <x v="41"/>
    <x v="7"/>
    <s v="Alpamet"/>
    <n v="2"/>
    <s v="unidad"/>
    <n v="28000"/>
    <n v="19.243986254295532"/>
    <n v="0.1"/>
    <s v="ARS"/>
    <n v="0.21"/>
    <n v="50400"/>
    <n v="60984"/>
    <n v="41.91340206185567"/>
    <n v="1455"/>
    <m/>
  </r>
  <r>
    <x v="14"/>
    <x v="1"/>
    <x v="41"/>
    <x v="7"/>
    <s v="Alpamet"/>
    <n v="2"/>
    <s v="unidad"/>
    <n v="37000"/>
    <n v="25.429553264604809"/>
    <n v="0.1"/>
    <s v="ARS"/>
    <n v="0.21"/>
    <n v="66600"/>
    <n v="80586"/>
    <n v="55.385567010309281"/>
    <n v="1455"/>
    <m/>
  </r>
  <r>
    <x v="14"/>
    <x v="1"/>
    <x v="56"/>
    <x v="8"/>
    <s v="Prive"/>
    <n v="120"/>
    <s v="unidad"/>
    <n v="8708.41"/>
    <n v="5.9851615120274912"/>
    <n v="0"/>
    <s v="ARS"/>
    <n v="0.21"/>
    <n v="1045009.2"/>
    <n v="1264461.132"/>
    <n v="869.04545154639175"/>
    <n v="1455"/>
    <m/>
  </r>
  <r>
    <x v="15"/>
    <x v="1"/>
    <x v="57"/>
    <x v="0"/>
    <s v="Greenfilm"/>
    <n v="2"/>
    <s v="rollo"/>
    <n v="256000"/>
    <n v="176.55172413793105"/>
    <n v="0"/>
    <s v="ARS"/>
    <n v="0.21"/>
    <n v="512000"/>
    <n v="619520"/>
    <n v="427.2551724137931"/>
    <n v="1450"/>
    <m/>
  </r>
  <r>
    <x v="15"/>
    <x v="1"/>
    <x v="11"/>
    <x v="5"/>
    <s v="Roguant"/>
    <n v="24"/>
    <s v="par"/>
    <n v="4219.5"/>
    <n v="2.91"/>
    <n v="0"/>
    <s v="ARS"/>
    <n v="0.21"/>
    <n v="101268"/>
    <n v="122534.28"/>
    <n v="84.506399999999999"/>
    <n v="1450"/>
    <s v="Tomaron TC 1455"/>
  </r>
  <r>
    <x v="15"/>
    <x v="1"/>
    <x v="58"/>
    <x v="8"/>
    <s v="Pacheco Chapas"/>
    <n v="5164"/>
    <s v="kg"/>
    <n v="1882.77"/>
    <n v="1.2984620689655173"/>
    <n v="0"/>
    <s v="ARS"/>
    <n v="0.21"/>
    <n v="9722624.2799999993"/>
    <n v="11764375.378799999"/>
    <n v="8113.3623302068963"/>
    <n v="1450"/>
    <s v="Tomaron TC 1455"/>
  </r>
  <r>
    <x v="15"/>
    <x v="1"/>
    <x v="46"/>
    <x v="2"/>
    <s v="Dusvar"/>
    <n v="1000"/>
    <s v="unidad"/>
    <n v="450"/>
    <n v="0.31034482758620691"/>
    <n v="0"/>
    <s v="ARS"/>
    <n v="0.21"/>
    <n v="450000"/>
    <n v="544500"/>
    <n v="375.51724137931035"/>
    <n v="1450"/>
    <m/>
  </r>
  <r>
    <x v="15"/>
    <x v="1"/>
    <x v="59"/>
    <x v="2"/>
    <s v="Dusvar"/>
    <n v="1500"/>
    <s v="unidad"/>
    <n v="998"/>
    <n v="0.68827586206896552"/>
    <n v="0"/>
    <s v="ARS"/>
    <n v="0.21"/>
    <n v="1497000"/>
    <n v="1811370"/>
    <n v="1249.2206896551725"/>
    <n v="1450"/>
    <m/>
  </r>
  <r>
    <x v="15"/>
    <x v="1"/>
    <x v="47"/>
    <x v="2"/>
    <s v="Dusvar"/>
    <n v="750"/>
    <s v="unidad"/>
    <n v="717"/>
    <n v="0.49448275862068963"/>
    <n v="0"/>
    <s v="ARS"/>
    <n v="0.21"/>
    <n v="537750"/>
    <n v="650677.5"/>
    <n v="448.74310344827586"/>
    <n v="1450"/>
    <m/>
  </r>
  <r>
    <x v="15"/>
    <x v="1"/>
    <x v="51"/>
    <x v="8"/>
    <s v="Casanova"/>
    <n v="5"/>
    <s v="kg"/>
    <n v="1718.69"/>
    <n v="1.1853034482758622"/>
    <n v="0"/>
    <s v="ARS"/>
    <n v="0.21"/>
    <n v="8593.4500000000007"/>
    <n v="10398.074500000001"/>
    <n v="7.1710858620689661"/>
    <n v="1450"/>
    <m/>
  </r>
  <r>
    <x v="15"/>
    <x v="1"/>
    <x v="50"/>
    <x v="8"/>
    <s v="Casanova"/>
    <n v="3"/>
    <s v="kg"/>
    <n v="1748.9"/>
    <n v="1.2061379310344829"/>
    <n v="0"/>
    <s v="ARS"/>
    <n v="0.21"/>
    <n v="5246.7000000000007"/>
    <n v="6348.5070000000005"/>
    <n v="4.3782806896551731"/>
    <n v="1450"/>
    <m/>
  </r>
  <r>
    <x v="15"/>
    <x v="1"/>
    <x v="52"/>
    <x v="8"/>
    <s v="Casanova"/>
    <n v="14"/>
    <s v="kg"/>
    <n v="2357.02"/>
    <n v="1.6255310344827587"/>
    <n v="0"/>
    <s v="ARS"/>
    <n v="0.21"/>
    <n v="32998.28"/>
    <n v="39927.918799999999"/>
    <n v="27.536495724137932"/>
    <n v="1450"/>
    <m/>
  </r>
  <r>
    <x v="16"/>
    <x v="1"/>
    <x v="60"/>
    <x v="0"/>
    <s v="Frío Acero"/>
    <n v="400"/>
    <s v="unidad"/>
    <n v="186.38"/>
    <n v="0.12853793103448274"/>
    <n v="0"/>
    <s v="ARS"/>
    <n v="0.21"/>
    <n v="74552"/>
    <n v="90207.92"/>
    <n v="62.212358620689656"/>
    <n v="1450"/>
    <m/>
  </r>
  <r>
    <x v="16"/>
    <x v="1"/>
    <x v="61"/>
    <x v="0"/>
    <s v="Frío Acero"/>
    <n v="196"/>
    <s v="unidad"/>
    <n v="266.25"/>
    <n v="0.18362068965517242"/>
    <n v="0"/>
    <s v="ARS"/>
    <n v="0.21"/>
    <n v="52185"/>
    <n v="63143.85"/>
    <n v="43.547482758620689"/>
    <n v="1450"/>
    <m/>
  </r>
  <r>
    <x v="16"/>
    <x v="1"/>
    <x v="62"/>
    <x v="7"/>
    <s v="Wurth"/>
    <n v="75"/>
    <s v="unidad"/>
    <n v="1201"/>
    <n v="0.82827586206896553"/>
    <n v="0"/>
    <s v="ARS"/>
    <n v="0.21"/>
    <n v="90075"/>
    <n v="108990.75"/>
    <n v="75.166034482758619"/>
    <n v="1450"/>
    <m/>
  </r>
  <r>
    <x v="16"/>
    <x v="1"/>
    <x v="63"/>
    <x v="9"/>
    <s v="Wurth"/>
    <n v="1"/>
    <m/>
    <n v="12596.18"/>
    <n v="8.6870206896551725"/>
    <n v="0"/>
    <s v="ARS"/>
    <n v="0.21"/>
    <n v="12596.18"/>
    <n v="15241.3778"/>
    <n v="10.511295034482758"/>
    <n v="1450"/>
    <m/>
  </r>
  <r>
    <x v="17"/>
    <x v="1"/>
    <x v="64"/>
    <x v="10"/>
    <s v="Pinturería Giannoni"/>
    <n v="1"/>
    <s v="litro"/>
    <n v="21309.08"/>
    <n v="14.645415807560139"/>
    <n v="0"/>
    <s v="ARS"/>
    <n v="0.21"/>
    <n v="21309.08"/>
    <n v="25783.986800000002"/>
    <n v="17.720953127147769"/>
    <n v="1455"/>
    <m/>
  </r>
  <r>
    <x v="17"/>
    <x v="1"/>
    <x v="44"/>
    <x v="0"/>
    <s v="Aserradero Alonso"/>
    <n v="300"/>
    <s v="unidad"/>
    <n v="1151.787521"/>
    <n v="0.79160654364261163"/>
    <n v="0.1"/>
    <s v="ARS"/>
    <n v="0.21"/>
    <n v="310982.63067000004"/>
    <n v="376288.98311070004"/>
    <n v="258.61785780804126"/>
    <n v="1455"/>
    <m/>
  </r>
  <r>
    <x v="17"/>
    <x v="1"/>
    <x v="45"/>
    <x v="0"/>
    <s v="Aserradero Alonso"/>
    <n v="200"/>
    <s v="unidad"/>
    <n v="814.51900799999999"/>
    <n v="0.55980687835051546"/>
    <n v="0.1"/>
    <s v="ARS"/>
    <n v="0.21"/>
    <n v="146613.42144000001"/>
    <n v="177402.23994240002"/>
    <n v="121.92593810474229"/>
    <n v="1455"/>
    <m/>
  </r>
  <r>
    <x v="18"/>
    <x v="1"/>
    <x v="7"/>
    <x v="4"/>
    <s v="Esdevi - Valeria"/>
    <n v="8"/>
    <s v="bolsa"/>
    <n v="7300"/>
    <n v="5"/>
    <n v="0"/>
    <s v="ARS"/>
    <n v="0"/>
    <n v="58400"/>
    <n v="58400"/>
    <n v="40"/>
    <n v="1460"/>
    <m/>
  </r>
  <r>
    <x v="18"/>
    <x v="1"/>
    <x v="8"/>
    <x v="4"/>
    <s v="Esdevi - Valeria"/>
    <n v="10"/>
    <s v="bolsa"/>
    <n v="9900"/>
    <n v="6.7808219178082192"/>
    <n v="0"/>
    <s v="ARS"/>
    <n v="0"/>
    <n v="99000"/>
    <n v="99000"/>
    <n v="67.808219178082197"/>
    <n v="1460"/>
    <m/>
  </r>
  <r>
    <x v="18"/>
    <x v="1"/>
    <x v="65"/>
    <x v="2"/>
    <s v="Metalúrgica Santa Fe"/>
    <n v="1500"/>
    <s v="unidad"/>
    <n v="737"/>
    <n v="0.50479452054794516"/>
    <n v="0.28749999999999998"/>
    <s v="ARS"/>
    <n v="0.21"/>
    <n v="787668.74999999988"/>
    <n v="953079.18749999988"/>
    <n v="652.79396404109582"/>
    <n v="1460"/>
    <m/>
  </r>
  <r>
    <x v="18"/>
    <x v="1"/>
    <x v="66"/>
    <x v="2"/>
    <s v="Metalúrgica Santa Fe"/>
    <n v="300"/>
    <s v="unidad"/>
    <n v="791"/>
    <n v="0.54178082191780819"/>
    <n v="0.28749999999999998"/>
    <s v="ARS"/>
    <n v="0.21"/>
    <n v="169076.25"/>
    <n v="204582.26250000001"/>
    <n v="140.12483732876714"/>
    <n v="1460"/>
    <m/>
  </r>
  <r>
    <x v="18"/>
    <x v="1"/>
    <x v="67"/>
    <x v="2"/>
    <s v="Metalúrgica Santa Fe"/>
    <n v="500"/>
    <s v="unidad"/>
    <n v="710"/>
    <n v="0.4863013698630137"/>
    <n v="0.28749999999999998"/>
    <s v="ARS"/>
    <n v="0.21"/>
    <n v="252937.5"/>
    <n v="306054.375"/>
    <n v="209.62628424657535"/>
    <n v="1460"/>
    <m/>
  </r>
  <r>
    <x v="18"/>
    <x v="1"/>
    <x v="68"/>
    <x v="2"/>
    <s v="Metalúrgica Santa Fe"/>
    <n v="100"/>
    <s v="unidad"/>
    <n v="130"/>
    <n v="8.9041095890410954E-2"/>
    <n v="0.28749999999999998"/>
    <s v="ARS"/>
    <n v="0.21"/>
    <n v="9262.5"/>
    <n v="11207.625"/>
    <n v="7.6764554794520548"/>
    <n v="1460"/>
    <m/>
  </r>
  <r>
    <x v="18"/>
    <x v="1"/>
    <x v="69"/>
    <x v="2"/>
    <s v="Metalúrgica Santa Fe"/>
    <n v="3000"/>
    <s v="unidad"/>
    <n v="130"/>
    <n v="8.9041095890410954E-2"/>
    <n v="0.28749999999999998"/>
    <s v="ARS"/>
    <n v="0.21"/>
    <n v="277875"/>
    <n v="336228.75"/>
    <n v="230.29366438356163"/>
    <n v="1460"/>
    <m/>
  </r>
  <r>
    <x v="18"/>
    <x v="1"/>
    <x v="70"/>
    <x v="2"/>
    <s v="Metalúrgica Santa Fe"/>
    <n v="500"/>
    <s v="unidad"/>
    <n v="217"/>
    <n v="0.14863013698630137"/>
    <n v="0.28749999999999998"/>
    <s v="ARS"/>
    <n v="0.21"/>
    <n v="77306.25"/>
    <n v="93540.5625"/>
    <n v="64.068878424657541"/>
    <n v="1460"/>
    <m/>
  </r>
  <r>
    <x v="19"/>
    <x v="1"/>
    <x v="71"/>
    <x v="5"/>
    <s v="Tech Safe"/>
    <n v="3"/>
    <s v="unidad"/>
    <n v="49509.2"/>
    <n v="33.67972789115646"/>
    <n v="0"/>
    <s v="ARS"/>
    <n v="0.21"/>
    <n v="148527.59999999998"/>
    <n v="179718.39599999998"/>
    <n v="122.25741224489795"/>
    <n v="1470"/>
    <m/>
  </r>
  <r>
    <x v="19"/>
    <x v="1"/>
    <x v="6"/>
    <x v="3"/>
    <s v="Roberto Gustavo Q."/>
    <n v="1"/>
    <s v="rollo"/>
    <n v="80000"/>
    <n v="54.42176870748299"/>
    <n v="0"/>
    <s v="ARS"/>
    <n v="0.21"/>
    <n v="80000"/>
    <n v="96800"/>
    <n v="65.850340136054427"/>
    <n v="1470"/>
    <m/>
  </r>
  <r>
    <x v="19"/>
    <x v="1"/>
    <x v="46"/>
    <x v="2"/>
    <s v="Dusvar"/>
    <n v="2000"/>
    <s v="unidad"/>
    <n v="450"/>
    <n v="0.30612244897959184"/>
    <n v="0"/>
    <s v="ARS"/>
    <n v="0.21"/>
    <n v="900000"/>
    <n v="1089000"/>
    <n v="740.81632653061229"/>
    <n v="1470"/>
    <m/>
  </r>
  <r>
    <x v="19"/>
    <x v="1"/>
    <x v="47"/>
    <x v="2"/>
    <s v="Dusvar"/>
    <n v="750"/>
    <s v="unidad"/>
    <n v="757"/>
    <n v="0.51496598639455782"/>
    <n v="0"/>
    <s v="ARS"/>
    <n v="0.21"/>
    <n v="567750"/>
    <n v="686977.5"/>
    <n v="467.33163265306121"/>
    <n v="1470"/>
    <m/>
  </r>
  <r>
    <x v="19"/>
    <x v="1"/>
    <x v="59"/>
    <x v="2"/>
    <s v="Dusvar"/>
    <n v="1000"/>
    <s v="unidad"/>
    <n v="998"/>
    <n v="0.67891156462585034"/>
    <n v="0"/>
    <s v="ARS"/>
    <n v="0.21"/>
    <n v="998000"/>
    <n v="1207580"/>
    <n v="821.48299319727892"/>
    <n v="1470"/>
    <m/>
  </r>
  <r>
    <x v="20"/>
    <x v="1"/>
    <x v="34"/>
    <x v="0"/>
    <s v="Pallets Buenos Aires"/>
    <n v="20"/>
    <s v="unidad"/>
    <n v="6500"/>
    <n v="4.3918918918918921"/>
    <n v="0"/>
    <s v="ARS"/>
    <n v="0.21"/>
    <n v="130000"/>
    <n v="157300"/>
    <n v="106.28378378378379"/>
    <n v="1480"/>
    <m/>
  </r>
  <r>
    <x v="20"/>
    <x v="1"/>
    <x v="72"/>
    <x v="1"/>
    <s v="Zicari Mariana Elena"/>
    <n v="2"/>
    <s v="unidad"/>
    <n v="10360"/>
    <n v="7"/>
    <n v="0.15"/>
    <s v="ARS"/>
    <n v="0.21"/>
    <n v="17612"/>
    <n v="21310.52"/>
    <n v="14.399000000000001"/>
    <n v="1480"/>
    <m/>
  </r>
  <r>
    <x v="20"/>
    <x v="1"/>
    <x v="73"/>
    <x v="1"/>
    <s v="Zicari Mariana Elena"/>
    <n v="1"/>
    <s v="unidad"/>
    <n v="20720"/>
    <n v="14"/>
    <n v="0.15"/>
    <s v="ARS"/>
    <n v="0.21"/>
    <n v="17612"/>
    <n v="21310.52"/>
    <n v="14.399000000000001"/>
    <n v="1480"/>
    <m/>
  </r>
  <r>
    <x v="20"/>
    <x v="1"/>
    <x v="1"/>
    <x v="1"/>
    <s v="Zicari Mariana Elena"/>
    <n v="10"/>
    <s v="unidad"/>
    <n v="5800"/>
    <n v="3.9189189189189189"/>
    <n v="0"/>
    <s v="ARS"/>
    <n v="0.21"/>
    <n v="58000"/>
    <n v="70180"/>
    <n v="47.418918918918919"/>
    <n v="1480"/>
    <m/>
  </r>
  <r>
    <x v="21"/>
    <x v="1"/>
    <x v="74"/>
    <x v="0"/>
    <s v="Adamat"/>
    <n v="5"/>
    <s v="bolsa"/>
    <n v="6169.95"/>
    <n v="4.1409060402684563"/>
    <n v="0.4"/>
    <s v="ARS"/>
    <n v="0.21"/>
    <n v="18509.849999999999"/>
    <n v="22396.9185"/>
    <n v="15.031488926174497"/>
    <n v="1490"/>
    <m/>
  </r>
  <r>
    <x v="21"/>
    <x v="1"/>
    <x v="36"/>
    <x v="0"/>
    <s v="Adamat"/>
    <n v="20"/>
    <s v="bolsa"/>
    <n v="22056.94"/>
    <n v="14.80331543624161"/>
    <n v="0.4"/>
    <s v="ARS"/>
    <n v="0.21"/>
    <n v="264683.27999999997"/>
    <n v="320266.76879999996"/>
    <n v="214.94414013422815"/>
    <n v="1490"/>
    <m/>
  </r>
  <r>
    <x v="21"/>
    <x v="1"/>
    <x v="49"/>
    <x v="0"/>
    <s v="Adamat"/>
    <n v="5"/>
    <s v="bolsa"/>
    <n v="27888.080000000002"/>
    <n v="18.716832214765102"/>
    <n v="0.4"/>
    <s v="ARS"/>
    <n v="0.21"/>
    <n v="83664.239999999991"/>
    <n v="101233.73039999999"/>
    <n v="67.94210093959731"/>
    <n v="1490"/>
    <m/>
  </r>
  <r>
    <x v="21"/>
    <x v="1"/>
    <x v="0"/>
    <x v="0"/>
    <s v="Mad Packaging"/>
    <n v="186"/>
    <s v="kg"/>
    <n v="4736"/>
    <n v="3.178523489932886"/>
    <n v="0"/>
    <s v="ARS"/>
    <n v="0.21"/>
    <n v="880896"/>
    <n v="1065884.1599999999"/>
    <n v="715.3584966442952"/>
    <n v="1490"/>
    <m/>
  </r>
  <r>
    <x v="21"/>
    <x v="1"/>
    <x v="35"/>
    <x v="0"/>
    <s v="Mad Packaging"/>
    <n v="31"/>
    <s v="kg"/>
    <n v="4380.8"/>
    <n v="2.9401342281879197"/>
    <n v="0"/>
    <s v="ARS"/>
    <n v="0.21"/>
    <n v="135804.80000000002"/>
    <n v="164323.80800000002"/>
    <n v="110.28443489932887"/>
    <n v="1490"/>
    <m/>
  </r>
  <r>
    <x v="21"/>
    <x v="1"/>
    <x v="75"/>
    <x v="0"/>
    <s v="Mad Packaging"/>
    <n v="18.600000000000001"/>
    <s v="kg"/>
    <n v="5313.2"/>
    <n v="3.5659060402684561"/>
    <n v="0"/>
    <s v="ARS"/>
    <n v="0.21"/>
    <n v="98825.52"/>
    <n v="119578.8792"/>
    <n v="80.254281342281871"/>
    <n v="1490"/>
    <m/>
  </r>
  <r>
    <x v="22"/>
    <x v="1"/>
    <x v="46"/>
    <x v="2"/>
    <s v="Dusvar"/>
    <n v="1000"/>
    <s v="unidad"/>
    <n v="450"/>
    <n v="0.30100334448160537"/>
    <n v="0"/>
    <s v="ARS"/>
    <n v="0.21"/>
    <n v="450000"/>
    <n v="544500"/>
    <n v="364.21404682274249"/>
    <n v="1495"/>
    <m/>
  </r>
  <r>
    <x v="22"/>
    <x v="1"/>
    <x v="59"/>
    <x v="2"/>
    <s v="Dusvar"/>
    <n v="1000"/>
    <s v="unidad"/>
    <n v="998"/>
    <n v="0.6675585284280936"/>
    <n v="0"/>
    <s v="ARS"/>
    <n v="0.21"/>
    <n v="998000"/>
    <n v="1207580"/>
    <n v="807.74581939799327"/>
    <n v="1495"/>
    <m/>
  </r>
  <r>
    <x v="22"/>
    <x v="1"/>
    <x v="47"/>
    <x v="2"/>
    <s v="Dusvar"/>
    <n v="1500"/>
    <s v="unidad"/>
    <n v="717"/>
    <n v="0.47959866220735786"/>
    <n v="0"/>
    <s v="ARS"/>
    <n v="0.21"/>
    <n v="1075500"/>
    <n v="1301355"/>
    <n v="870.47157190635448"/>
    <n v="1495"/>
    <m/>
  </r>
  <r>
    <x v="22"/>
    <x v="1"/>
    <x v="57"/>
    <x v="0"/>
    <s v="Plásticos Aloha"/>
    <n v="10"/>
    <s v="kg"/>
    <n v="7620"/>
    <n v="5.0969899665551841"/>
    <n v="0"/>
    <s v="ARS"/>
    <n v="0.21"/>
    <n v="76200"/>
    <n v="92202"/>
    <n v="61.673578595317728"/>
    <n v="1495"/>
    <m/>
  </r>
  <r>
    <x v="22"/>
    <x v="1"/>
    <x v="76"/>
    <x v="5"/>
    <s v="Aníbal Roncoroni"/>
    <n v="1"/>
    <s v="unidad"/>
    <n v="32000"/>
    <n v="21.404682274247492"/>
    <n v="0"/>
    <s v="ARS"/>
    <n v="0.21"/>
    <n v="32000"/>
    <n v="38720"/>
    <n v="25.899665551839465"/>
    <n v="1495"/>
    <m/>
  </r>
  <r>
    <x v="22"/>
    <x v="1"/>
    <x v="3"/>
    <x v="2"/>
    <s v="Distribuidora Tubulón"/>
    <n v="100800"/>
    <s v="unidad"/>
    <n v="19.775860000000002"/>
    <n v="1.3228E-2"/>
    <n v="0.15379999999999999"/>
    <s v="ARS"/>
    <n v="0.21"/>
    <n v="1686820.7393856002"/>
    <n v="2041053.0946565762"/>
    <n v="1365.2529061248001"/>
    <n v="1495"/>
    <m/>
  </r>
  <r>
    <x v="22"/>
    <x v="1"/>
    <x v="42"/>
    <x v="7"/>
    <s v="Alpamet"/>
    <n v="1"/>
    <s v="unidad"/>
    <n v="59500"/>
    <n v="39.799331103678931"/>
    <n v="0"/>
    <s v="ARS"/>
    <n v="0.21"/>
    <n v="59500"/>
    <n v="71995"/>
    <n v="48.157190635451506"/>
    <n v="1495"/>
    <m/>
  </r>
  <r>
    <x v="22"/>
    <x v="1"/>
    <x v="41"/>
    <x v="7"/>
    <s v="Alpamet"/>
    <n v="2"/>
    <s v="unidad"/>
    <n v="37000"/>
    <n v="24.749163879598662"/>
    <n v="0.1"/>
    <s v="ARS"/>
    <n v="0.21"/>
    <n v="66600"/>
    <n v="80586"/>
    <n v="53.903678929765888"/>
    <n v="1495"/>
    <m/>
  </r>
  <r>
    <x v="22"/>
    <x v="1"/>
    <x v="20"/>
    <x v="4"/>
    <s v="Imperio de la Limpieza"/>
    <n v="6"/>
    <s v="unidad"/>
    <n v="3198.34"/>
    <n v="2.1393578595317728"/>
    <n v="0"/>
    <s v="ARS"/>
    <n v="0.21"/>
    <n v="19190.04"/>
    <n v="23219.948400000001"/>
    <n v="15.53173806020067"/>
    <n v="1495"/>
    <m/>
  </r>
  <r>
    <x v="22"/>
    <x v="1"/>
    <x v="21"/>
    <x v="4"/>
    <s v="Imperio de la Limpieza"/>
    <n v="3"/>
    <s v="paquete"/>
    <n v="570.24"/>
    <n v="0.38143143812709029"/>
    <n v="0"/>
    <s v="ARS"/>
    <n v="0.21"/>
    <n v="1710.72"/>
    <n v="2069.9712"/>
    <n v="1.3845961204013377"/>
    <n v="1495"/>
    <m/>
  </r>
  <r>
    <x v="22"/>
    <x v="1"/>
    <x v="22"/>
    <x v="4"/>
    <s v="Imperio de la Limpieza"/>
    <n v="20"/>
    <s v="paquete"/>
    <n v="1694.21"/>
    <n v="1.1332508361204015"/>
    <n v="0"/>
    <s v="ARS"/>
    <n v="0.21"/>
    <n v="33884.199999999997"/>
    <n v="40999.881999999998"/>
    <n v="27.424670234113712"/>
    <n v="1495"/>
    <m/>
  </r>
  <r>
    <x v="22"/>
    <x v="1"/>
    <x v="23"/>
    <x v="4"/>
    <s v="Imperio de la Limpieza"/>
    <n v="3"/>
    <s v="unidad"/>
    <n v="504.13"/>
    <n v="0.33721070234113715"/>
    <n v="0"/>
    <s v="ARS"/>
    <n v="0.21"/>
    <n v="1512.3899999999999"/>
    <n v="1829.9918999999998"/>
    <n v="1.2240748494983276"/>
    <n v="1495"/>
    <m/>
  </r>
  <r>
    <x v="22"/>
    <x v="1"/>
    <x v="24"/>
    <x v="4"/>
    <s v="Imperio de la Limpieza"/>
    <n v="3"/>
    <s v="bidón"/>
    <n v="2809.91"/>
    <n v="1.8795384615384614"/>
    <n v="0"/>
    <s v="ARS"/>
    <n v="0.21"/>
    <n v="8429.73"/>
    <n v="10199.9733"/>
    <n v="6.8227246153846153"/>
    <n v="1495"/>
    <m/>
  </r>
  <r>
    <x v="22"/>
    <x v="1"/>
    <x v="25"/>
    <x v="4"/>
    <s v="Imperio de la Limpieza"/>
    <n v="1"/>
    <s v="unidad"/>
    <n v="2628.09"/>
    <n v="1.7579197324414717"/>
    <n v="0"/>
    <s v="ARS"/>
    <n v="0.21"/>
    <n v="2628.09"/>
    <n v="3179.9889000000003"/>
    <n v="2.1270828762541809"/>
    <n v="1495"/>
    <m/>
  </r>
  <r>
    <x v="22"/>
    <x v="1"/>
    <x v="26"/>
    <x v="4"/>
    <s v="Imperio de la Limpieza"/>
    <n v="1"/>
    <s v="bidón"/>
    <n v="8264.4599999999991"/>
    <n v="5.5280668896321066"/>
    <n v="0"/>
    <s v="ARS"/>
    <n v="0.21"/>
    <n v="8264.4599999999991"/>
    <n v="9999.9965999999986"/>
    <n v="6.6889609364548486"/>
    <n v="1495"/>
    <m/>
  </r>
  <r>
    <x v="22"/>
    <x v="1"/>
    <x v="27"/>
    <x v="4"/>
    <s v="Imperio de la Limpieza"/>
    <n v="1"/>
    <s v="bidón"/>
    <n v="7561.98"/>
    <n v="5.0581806020066891"/>
    <n v="0"/>
    <s v="ARS"/>
    <n v="0.21"/>
    <n v="7561.98"/>
    <n v="9149.9957999999988"/>
    <n v="6.1203985284280931"/>
    <n v="1495"/>
    <m/>
  </r>
  <r>
    <x v="22"/>
    <x v="1"/>
    <x v="77"/>
    <x v="4"/>
    <s v="Imperio de la Limpieza"/>
    <n v="1"/>
    <s v="bidón"/>
    <n v="14008.26"/>
    <n v="9.3700735785953171"/>
    <n v="0"/>
    <s v="ARS"/>
    <n v="0.21"/>
    <n v="14008.26"/>
    <n v="16949.994599999998"/>
    <n v="11.337789030100334"/>
    <n v="1495"/>
    <m/>
  </r>
  <r>
    <x v="22"/>
    <x v="1"/>
    <x v="28"/>
    <x v="4"/>
    <s v="Imperio de la Limpieza"/>
    <n v="2"/>
    <s v="unidad"/>
    <n v="1206.6099999999999"/>
    <n v="0.8070969899665551"/>
    <n v="0"/>
    <s v="ARS"/>
    <n v="0.21"/>
    <n v="2413.2199999999998"/>
    <n v="2919.9961999999996"/>
    <n v="1.9531747157190633"/>
    <n v="1495"/>
    <m/>
  </r>
  <r>
    <x v="22"/>
    <x v="1"/>
    <x v="30"/>
    <x v="4"/>
    <s v="Imperio de la Limpieza"/>
    <n v="9"/>
    <s v="unidad"/>
    <n v="4008.26"/>
    <n v="2.6811103678929769"/>
    <n v="0"/>
    <s v="ARS"/>
    <n v="0.21"/>
    <n v="36074.340000000004"/>
    <n v="43649.951400000005"/>
    <n v="29.197291906354518"/>
    <n v="1495"/>
    <m/>
  </r>
  <r>
    <x v="22"/>
    <x v="1"/>
    <x v="78"/>
    <x v="4"/>
    <s v="Imperio de la Limpieza"/>
    <n v="3"/>
    <s v="unidad"/>
    <n v="32272.720000000001"/>
    <n v="21.587103678929768"/>
    <n v="0"/>
    <s v="ARS"/>
    <n v="0.21"/>
    <n v="96818.16"/>
    <n v="117149.9736"/>
    <n v="78.361186354515056"/>
    <n v="1495"/>
    <m/>
  </r>
  <r>
    <x v="23"/>
    <x v="1"/>
    <x v="79"/>
    <x v="0"/>
    <s v="Mix-57"/>
    <n v="1"/>
    <s v="rollo"/>
    <n v="14876.03"/>
    <n v="9.9505217391304353"/>
    <n v="0"/>
    <s v="ARS"/>
    <n v="0.21"/>
    <n v="14876.03"/>
    <n v="17999.996299999999"/>
    <n v="12.040131304347826"/>
    <n v="1495"/>
    <m/>
  </r>
  <r>
    <x v="23"/>
    <x v="1"/>
    <x v="80"/>
    <x v="0"/>
    <s v="Mix-57"/>
    <n v="4"/>
    <s v="rollo"/>
    <n v="14876.03"/>
    <n v="9.9505217391304353"/>
    <n v="0"/>
    <s v="ARS"/>
    <n v="0.21"/>
    <n v="59504.12"/>
    <n v="71999.985199999996"/>
    <n v="48.160525217391303"/>
    <n v="1495"/>
    <m/>
  </r>
  <r>
    <x v="23"/>
    <x v="1"/>
    <x v="81"/>
    <x v="0"/>
    <s v="Mix-57"/>
    <n v="27"/>
    <s v="rollo"/>
    <n v="32231.4"/>
    <n v="21.559464882943146"/>
    <n v="0"/>
    <s v="ARS"/>
    <n v="0.21"/>
    <n v="870247.8"/>
    <n v="1052999.838"/>
    <n v="704.34771772575255"/>
    <n v="1495"/>
    <m/>
  </r>
  <r>
    <x v="23"/>
    <x v="1"/>
    <x v="82"/>
    <x v="0"/>
    <s v="Mix-57"/>
    <n v="2"/>
    <s v="rollo"/>
    <n v="41818.18"/>
    <n v="27.972026755852841"/>
    <n v="0"/>
    <s v="ARS"/>
    <n v="0.21"/>
    <n v="83636.36"/>
    <n v="101199.99559999999"/>
    <n v="67.692304749163881"/>
    <n v="1495"/>
    <m/>
  </r>
  <r>
    <x v="23"/>
    <x v="1"/>
    <x v="83"/>
    <x v="0"/>
    <s v="Mix-57"/>
    <n v="5"/>
    <s v="rollo"/>
    <n v="11570.25"/>
    <n v="7.7392976588628759"/>
    <n v="0"/>
    <s v="ARS"/>
    <n v="0.21"/>
    <n v="57851.25"/>
    <n v="70000.012499999997"/>
    <n v="46.822750836120399"/>
    <n v="1495"/>
    <m/>
  </r>
  <r>
    <x v="24"/>
    <x v="1"/>
    <x v="84"/>
    <x v="0"/>
    <s v="Formaco"/>
    <n v="103"/>
    <s v="kg"/>
    <n v="3617.9"/>
    <n v="2.42"/>
    <n v="0"/>
    <s v="ARS"/>
    <n v="0.21"/>
    <n v="372643.7"/>
    <n v="450898.87699999998"/>
    <n v="301.6046"/>
    <n v="1495"/>
    <m/>
  </r>
  <r>
    <x v="24"/>
    <x v="1"/>
    <x v="39"/>
    <x v="3"/>
    <s v="Roberto Gustavo Q."/>
    <n v="20"/>
    <s v="m3"/>
    <n v="18500"/>
    <n v="12.374581939799331"/>
    <n v="0"/>
    <s v="ARS"/>
    <n v="0.21"/>
    <n v="370000"/>
    <n v="447700"/>
    <n v="299.46488294314383"/>
    <n v="1495"/>
    <m/>
  </r>
  <r>
    <x v="24"/>
    <x v="1"/>
    <x v="6"/>
    <x v="3"/>
    <s v="Roberto Gustavo Q."/>
    <n v="2"/>
    <s v="rollo"/>
    <n v="80000"/>
    <n v="53.511705685618729"/>
    <n v="0"/>
    <s v="ARS"/>
    <n v="0.21"/>
    <n v="160000"/>
    <n v="193600"/>
    <n v="129.49832775919734"/>
    <n v="1495"/>
    <m/>
  </r>
  <r>
    <x v="24"/>
    <x v="1"/>
    <x v="85"/>
    <x v="1"/>
    <s v="Librería Maya"/>
    <n v="20"/>
    <s v="unidad"/>
    <n v="1029.3800000000001"/>
    <n v="0.68854849498327764"/>
    <n v="0"/>
    <s v="ARS"/>
    <n v="0.21"/>
    <n v="20587.600000000002"/>
    <n v="24910.996000000003"/>
    <n v="16.66287357859532"/>
    <n v="1495"/>
    <m/>
  </r>
  <r>
    <x v="24"/>
    <x v="1"/>
    <x v="86"/>
    <x v="1"/>
    <s v="Librería Maya"/>
    <n v="20"/>
    <s v="unidad"/>
    <n v="1029.3800000000001"/>
    <n v="0.68854849498327764"/>
    <n v="0"/>
    <s v="ARS"/>
    <n v="0.21"/>
    <n v="20587.600000000002"/>
    <n v="24910.996000000003"/>
    <n v="16.66287357859532"/>
    <n v="1495"/>
    <m/>
  </r>
  <r>
    <x v="24"/>
    <x v="1"/>
    <x v="87"/>
    <x v="1"/>
    <s v="Librería Maya"/>
    <n v="2"/>
    <s v="unidad"/>
    <n v="998.28"/>
    <n v="0.66774581939799327"/>
    <n v="0"/>
    <s v="ARS"/>
    <n v="0.21"/>
    <n v="1996.56"/>
    <n v="2415.8375999999998"/>
    <n v="1.6159448829431438"/>
    <n v="1495"/>
    <m/>
  </r>
  <r>
    <x v="25"/>
    <x v="1"/>
    <x v="44"/>
    <x v="0"/>
    <s v="Aserradero Alonso"/>
    <n v="300"/>
    <s v="unidad"/>
    <n v="1151.787521"/>
    <n v="0.76785834733333336"/>
    <n v="0.1"/>
    <s v="ARS"/>
    <n v="0.21"/>
    <n v="310982.63067000004"/>
    <n v="376288.98311070004"/>
    <n v="250.85932207380003"/>
    <n v="1500"/>
    <m/>
  </r>
  <r>
    <x v="25"/>
    <x v="1"/>
    <x v="45"/>
    <x v="0"/>
    <s v="Aserradero Alonso"/>
    <n v="300"/>
    <s v="unidad"/>
    <n v="814.51900799999999"/>
    <n v="0.54301267200000003"/>
    <n v="0.1"/>
    <s v="ARS"/>
    <n v="0.21"/>
    <n v="219920.13216000001"/>
    <n v="266103.35991360003"/>
    <n v="177.40223994240003"/>
    <n v="1500"/>
    <m/>
  </r>
  <r>
    <x v="25"/>
    <x v="1"/>
    <x v="55"/>
    <x v="0"/>
    <s v="Embalsur"/>
    <n v="10"/>
    <s v="unidad"/>
    <n v="16000"/>
    <n v="10.666666666666666"/>
    <n v="0"/>
    <s v="ARS"/>
    <n v="0.21"/>
    <n v="160000"/>
    <n v="193600"/>
    <n v="129.06666666666666"/>
    <n v="1500"/>
    <m/>
  </r>
  <r>
    <x v="25"/>
    <x v="1"/>
    <x v="88"/>
    <x v="0"/>
    <s v="Embalsur"/>
    <n v="10"/>
    <s v="unidad"/>
    <n v="9148"/>
    <n v="6.0986666666666665"/>
    <n v="0"/>
    <s v="ARS"/>
    <n v="0.21"/>
    <n v="91480"/>
    <n v="110690.8"/>
    <n v="73.793866666666673"/>
    <n v="1500"/>
    <m/>
  </r>
  <r>
    <x v="25"/>
    <x v="1"/>
    <x v="89"/>
    <x v="11"/>
    <s v="Fercol"/>
    <n v="2"/>
    <s v="pack"/>
    <n v="46620"/>
    <n v="31.08"/>
    <n v="0"/>
    <s v="ARS"/>
    <n v="0.21"/>
    <n v="93240"/>
    <n v="112820.4"/>
    <n v="75.2136"/>
    <n v="1500"/>
    <s v="bonif 37% (entender fac)"/>
  </r>
  <r>
    <x v="25"/>
    <x v="1"/>
    <x v="45"/>
    <x v="0"/>
    <s v="Aserradero Alonso"/>
    <n v="100"/>
    <s v="unidad"/>
    <n v="814.51900799999999"/>
    <n v="0.54301267200000003"/>
    <n v="0.1"/>
    <s v="ARS"/>
    <n v="0.21"/>
    <n v="73306.710720000003"/>
    <n v="88701.119971200009"/>
    <n v="59.134079980800003"/>
    <n v="1500"/>
    <m/>
  </r>
  <r>
    <x v="25"/>
    <x v="1"/>
    <x v="90"/>
    <x v="0"/>
    <s v="Aserradero Alonso"/>
    <n v="40"/>
    <s v="unidad"/>
    <n v="3818.057851"/>
    <n v="2.5453719006666669"/>
    <n v="0.1"/>
    <s v="ARS"/>
    <n v="0.21"/>
    <n v="137450.08263600001"/>
    <n v="166314.59998956"/>
    <n v="110.87639999304"/>
    <n v="1500"/>
    <m/>
  </r>
  <r>
    <x v="25"/>
    <x v="1"/>
    <x v="91"/>
    <x v="0"/>
    <s v="Aserradero Alonso"/>
    <n v="5"/>
    <s v="kg"/>
    <n v="5488.3719010000004"/>
    <n v="3.6589146006666668"/>
    <n v="0.1"/>
    <s v="ARS"/>
    <n v="0.21"/>
    <n v="24697.673554500001"/>
    <n v="29884.185000944999"/>
    <n v="19.922790000629998"/>
    <n v="1500"/>
    <m/>
  </r>
  <r>
    <x v="25"/>
    <x v="1"/>
    <x v="44"/>
    <x v="0"/>
    <s v="Aserradero Alonso"/>
    <n v="300"/>
    <s v="unidad"/>
    <n v="1151.787521"/>
    <n v="0.76785834733333336"/>
    <n v="0.1"/>
    <s v="ARS"/>
    <n v="0.21"/>
    <n v="310982.63067000004"/>
    <n v="376288.98311070004"/>
    <n v="250.85932207380003"/>
    <n v="1500"/>
    <m/>
  </r>
  <r>
    <x v="25"/>
    <x v="1"/>
    <x v="45"/>
    <x v="0"/>
    <s v="Aserradero Alonso"/>
    <n v="300"/>
    <s v="unidad"/>
    <n v="814.51900799999999"/>
    <n v="0.54301267200000003"/>
    <n v="0.1"/>
    <s v="ARS"/>
    <n v="0.21"/>
    <n v="219920.13216000001"/>
    <n v="266103.35991360003"/>
    <n v="177.40223994240003"/>
    <n v="1500"/>
    <m/>
  </r>
  <r>
    <x v="26"/>
    <x v="2"/>
    <x v="9"/>
    <x v="5"/>
    <s v="Tech Safe"/>
    <n v="24"/>
    <s v="par"/>
    <n v="651.22"/>
    <n v="0.43127152317880796"/>
    <n v="0"/>
    <s v="ARS"/>
    <n v="0.21"/>
    <n v="15629.28"/>
    <n v="18911.428800000002"/>
    <n v="12.524125033112584"/>
    <n v="1510"/>
    <m/>
  </r>
  <r>
    <x v="26"/>
    <x v="2"/>
    <x v="10"/>
    <x v="5"/>
    <s v="Tech Safe"/>
    <n v="24"/>
    <s v="par"/>
    <n v="651.22"/>
    <n v="0.43127152317880796"/>
    <n v="0"/>
    <s v="ARS"/>
    <n v="0.21"/>
    <n v="15629.28"/>
    <n v="18911.428800000002"/>
    <n v="12.524125033112584"/>
    <n v="1510"/>
    <m/>
  </r>
  <r>
    <x v="26"/>
    <x v="2"/>
    <x v="11"/>
    <x v="5"/>
    <s v="Tech Safe"/>
    <n v="24"/>
    <s v="par"/>
    <n v="4795"/>
    <n v="3.1754966887417218"/>
    <n v="0"/>
    <s v="ARS"/>
    <n v="0.21"/>
    <n v="115080"/>
    <n v="139246.79999999999"/>
    <n v="92.216423841059594"/>
    <n v="1510"/>
    <m/>
  </r>
  <r>
    <x v="26"/>
    <x v="2"/>
    <x v="12"/>
    <x v="2"/>
    <s v="Disur"/>
    <n v="32"/>
    <s v="kg"/>
    <n v="4800"/>
    <n v="3.1788079470198674"/>
    <n v="0"/>
    <s v="ARS"/>
    <n v="0.21"/>
    <n v="153600"/>
    <n v="185856"/>
    <n v="123.08344370860927"/>
    <n v="1510"/>
    <m/>
  </r>
  <r>
    <x v="26"/>
    <x v="2"/>
    <x v="14"/>
    <x v="2"/>
    <s v="Disur"/>
    <n v="20"/>
    <s v="kg"/>
    <n v="4890"/>
    <n v="3.23841059602649"/>
    <n v="0"/>
    <s v="ARS"/>
    <n v="0.21"/>
    <n v="97800"/>
    <n v="118338"/>
    <n v="78.369536423841055"/>
    <n v="1510"/>
    <m/>
  </r>
  <r>
    <x v="26"/>
    <x v="2"/>
    <x v="15"/>
    <x v="2"/>
    <s v="Disur"/>
    <n v="5000"/>
    <s v="unidad"/>
    <n v="29.2"/>
    <n v="1.933774834437086E-2"/>
    <n v="0"/>
    <s v="ARS"/>
    <n v="0.21"/>
    <n v="146000"/>
    <n v="176660"/>
    <n v="116.99337748344371"/>
    <n v="1510"/>
    <m/>
  </r>
  <r>
    <x v="26"/>
    <x v="2"/>
    <x v="92"/>
    <x v="2"/>
    <s v="Disur"/>
    <n v="10000"/>
    <s v="unidad"/>
    <n v="235.44"/>
    <n v="0.15592052980132451"/>
    <n v="0"/>
    <s v="ARS"/>
    <n v="0.21"/>
    <n v="2354400"/>
    <n v="2848824"/>
    <n v="1886.6384105960265"/>
    <n v="1510"/>
    <m/>
  </r>
  <r>
    <x v="26"/>
    <x v="2"/>
    <x v="93"/>
    <x v="2"/>
    <s v="Disur"/>
    <n v="2000"/>
    <s v="unidad"/>
    <n v="123"/>
    <n v="8.1456953642384103E-2"/>
    <n v="0"/>
    <s v="ARS"/>
    <n v="0.21"/>
    <n v="246000"/>
    <n v="297660"/>
    <n v="197.12582781456953"/>
    <n v="1510"/>
    <s v="precio x menor cant"/>
  </r>
  <r>
    <x v="26"/>
    <x v="2"/>
    <x v="94"/>
    <x v="2"/>
    <s v="Disur"/>
    <n v="2000"/>
    <s v="unidad"/>
    <n v="246"/>
    <n v="0.16291390728476821"/>
    <n v="0"/>
    <s v="ARS"/>
    <n v="0.21"/>
    <n v="492000"/>
    <n v="595320"/>
    <n v="394.25165562913907"/>
    <n v="1510"/>
    <s v="precio x menor cant"/>
  </r>
  <r>
    <x v="26"/>
    <x v="2"/>
    <x v="95"/>
    <x v="2"/>
    <s v="Disur"/>
    <n v="2000"/>
    <s v="unidad"/>
    <n v="140"/>
    <n v="9.2715231788079472E-2"/>
    <n v="0"/>
    <s v="ARS"/>
    <n v="0.21"/>
    <n v="280000"/>
    <n v="338800"/>
    <n v="224.37086092715231"/>
    <n v="1510"/>
    <s v="precio x menor cant"/>
  </r>
  <r>
    <x v="26"/>
    <x v="2"/>
    <x v="16"/>
    <x v="2"/>
    <s v="Disur"/>
    <n v="100000"/>
    <s v="unidad"/>
    <n v="27.97"/>
    <n v="1.852317880794702E-2"/>
    <n v="0"/>
    <s v="ARS"/>
    <n v="0.21"/>
    <n v="2797000"/>
    <n v="3384370"/>
    <n v="2241.3046357615895"/>
    <n v="1510"/>
    <m/>
  </r>
  <r>
    <x v="26"/>
    <x v="2"/>
    <x v="3"/>
    <x v="2"/>
    <s v="Disur"/>
    <n v="54000"/>
    <s v="unidad"/>
    <n v="16"/>
    <n v="1.0596026490066225E-2"/>
    <n v="0"/>
    <s v="ARS"/>
    <n v="0.21"/>
    <n v="864000"/>
    <n v="1045440"/>
    <n v="692.34437086092714"/>
    <n v="1510"/>
    <m/>
  </r>
  <r>
    <x v="26"/>
    <x v="2"/>
    <x v="15"/>
    <x v="2"/>
    <s v="Disur"/>
    <n v="10000"/>
    <s v="unidad"/>
    <n v="29.2"/>
    <n v="1.933774834437086E-2"/>
    <n v="0"/>
    <s v="ARS"/>
    <n v="0.21"/>
    <n v="292000"/>
    <n v="353320"/>
    <n v="233.98675496688742"/>
    <n v="1510"/>
    <m/>
  </r>
  <r>
    <x v="26"/>
    <x v="2"/>
    <x v="41"/>
    <x v="7"/>
    <s v="Alpamet"/>
    <n v="2"/>
    <s v="unidad"/>
    <n v="37000"/>
    <n v="24.503311258278146"/>
    <n v="0.1"/>
    <s v="ARS"/>
    <n v="0.21"/>
    <n v="66600"/>
    <n v="80586"/>
    <n v="53.368211920529802"/>
    <n v="1510"/>
    <m/>
  </r>
  <r>
    <x v="26"/>
    <x v="2"/>
    <x v="36"/>
    <x v="0"/>
    <s v="Adamat"/>
    <n v="20"/>
    <s v="bolsa"/>
    <n v="22056.94"/>
    <n v="14.607245033112582"/>
    <n v="0.4"/>
    <s v="ARS"/>
    <n v="0.21"/>
    <n v="264683.27999999997"/>
    <n v="320266.76879999996"/>
    <n v="212.09719788079468"/>
    <n v="1510"/>
    <m/>
  </r>
  <r>
    <x v="26"/>
    <x v="2"/>
    <x v="49"/>
    <x v="0"/>
    <s v="Adamat"/>
    <n v="5"/>
    <s v="bolsa"/>
    <n v="27888.080000000002"/>
    <n v="18.468927152317882"/>
    <n v="0.4"/>
    <s v="ARS"/>
    <n v="0.21"/>
    <n v="83664.239999999991"/>
    <n v="101233.73039999999"/>
    <n v="67.042205562913892"/>
    <n v="1510"/>
    <m/>
  </r>
  <r>
    <x v="27"/>
    <x v="2"/>
    <x v="96"/>
    <x v="5"/>
    <s v="Roguant"/>
    <n v="5"/>
    <s v="unidad"/>
    <n v="1796.9"/>
    <n v="1.1900000000000002"/>
    <n v="0"/>
    <s v="USD"/>
    <n v="0.21"/>
    <n v="8984.5"/>
    <n v="10871.244999999999"/>
    <n v="7.1994999999999996"/>
    <n v="1510"/>
    <m/>
  </r>
  <r>
    <x v="27"/>
    <x v="2"/>
    <x v="97"/>
    <x v="5"/>
    <s v="Roguant"/>
    <n v="3"/>
    <s v="unidad"/>
    <n v="5436"/>
    <n v="3.6"/>
    <n v="0"/>
    <s v="USD"/>
    <n v="0.21"/>
    <n v="16308"/>
    <n v="19732.68"/>
    <n v="13.068"/>
    <n v="1510"/>
    <m/>
  </r>
  <r>
    <x v="27"/>
    <x v="2"/>
    <x v="59"/>
    <x v="2"/>
    <s v="Dusvar"/>
    <n v="500"/>
    <s v="unidad"/>
    <n v="998"/>
    <n v="0.66092715231788079"/>
    <n v="0"/>
    <s v="ARS"/>
    <n v="0.21"/>
    <n v="499000"/>
    <n v="603790"/>
    <n v="399.86092715231786"/>
    <n v="1510"/>
    <m/>
  </r>
  <r>
    <x v="27"/>
    <x v="2"/>
    <x v="46"/>
    <x v="2"/>
    <s v="Dusvar"/>
    <n v="1000"/>
    <s v="unidad"/>
    <n v="450"/>
    <n v="0.29801324503311261"/>
    <n v="0"/>
    <s v="ARS"/>
    <n v="0.21"/>
    <n v="450000"/>
    <n v="544500"/>
    <n v="360.59602649006621"/>
    <n v="1510"/>
    <m/>
  </r>
  <r>
    <x v="27"/>
    <x v="2"/>
    <x v="59"/>
    <x v="2"/>
    <s v="Dusvar"/>
    <n v="1500"/>
    <s v="unidad"/>
    <n v="998"/>
    <n v="0.66092715231788079"/>
    <n v="0"/>
    <s v="ARS"/>
    <n v="0.21"/>
    <n v="1497000"/>
    <n v="1811370"/>
    <n v="1199.5827814569536"/>
    <n v="1510"/>
    <m/>
  </r>
  <r>
    <x v="27"/>
    <x v="2"/>
    <x v="46"/>
    <x v="2"/>
    <s v="Dusvar"/>
    <n v="1500"/>
    <s v="unidad"/>
    <n v="450"/>
    <n v="0.29801324503311261"/>
    <n v="0"/>
    <s v="ARS"/>
    <n v="0.21"/>
    <n v="675000"/>
    <n v="816750"/>
    <n v="540.89403973509934"/>
    <n v="1510"/>
    <m/>
  </r>
  <r>
    <x v="28"/>
    <x v="2"/>
    <x v="39"/>
    <x v="3"/>
    <s v="Roberto Gustavo Q."/>
    <n v="40"/>
    <s v="m3"/>
    <n v="4500"/>
    <n v="2.9801324503311259"/>
    <n v="0"/>
    <s v="ARS"/>
    <m/>
    <n v="180000"/>
    <n v="180000"/>
    <n v="119.20529801324503"/>
    <n v="1510"/>
    <s v="4 tubos"/>
  </r>
  <r>
    <x v="28"/>
    <x v="2"/>
    <x v="0"/>
    <x v="0"/>
    <s v="Mad Packaging"/>
    <n v="278"/>
    <s v="kg"/>
    <n v="4832"/>
    <n v="3.2"/>
    <n v="0"/>
    <s v="ARS"/>
    <n v="0.21"/>
    <n v="1343296"/>
    <n v="1625388.16"/>
    <n v="1076.4159999999999"/>
    <n v="1510"/>
    <m/>
  </r>
  <r>
    <x v="29"/>
    <x v="2"/>
    <x v="39"/>
    <x v="3"/>
    <s v="Roberto Gustavo Q."/>
    <n v="40"/>
    <s v="m3"/>
    <n v="4500"/>
    <n v="2.9801324503311259"/>
    <n v="0"/>
    <s v="ARS"/>
    <m/>
    <n v="180000"/>
    <n v="180000"/>
    <n v="119.20529801324503"/>
    <n v="1510"/>
    <s v="4 tubos"/>
  </r>
  <r>
    <x v="29"/>
    <x v="2"/>
    <x v="5"/>
    <x v="3"/>
    <s v="Roberto Gustavo Q."/>
    <n v="10"/>
    <s v="m3"/>
    <n v="18500"/>
    <n v="12.251655629139073"/>
    <n v="0"/>
    <s v="ARS"/>
    <m/>
    <n v="185000"/>
    <n v="185000"/>
    <n v="122.51655629139073"/>
    <n v="1510"/>
    <s v="1 tubo"/>
  </r>
  <r>
    <x v="29"/>
    <x v="2"/>
    <x v="98"/>
    <x v="6"/>
    <s v="MTZ"/>
    <n v="792"/>
    <s v="unidad"/>
    <n v="398"/>
    <n v="0.26357615894039738"/>
    <n v="0"/>
    <s v="ARS"/>
    <m/>
    <n v="315216"/>
    <n v="315216"/>
    <n v="208.75231788079469"/>
    <n v="1510"/>
    <s v="Lista 03-2026"/>
  </r>
  <r>
    <x v="29"/>
    <x v="2"/>
    <x v="99"/>
    <x v="6"/>
    <s v="MTZ"/>
    <n v="1485"/>
    <s v="unidad"/>
    <n v="420"/>
    <n v="0.27814569536423839"/>
    <n v="0"/>
    <s v="ARS"/>
    <m/>
    <n v="623700"/>
    <n v="623700"/>
    <n v="413.04635761589407"/>
    <n v="1510"/>
    <m/>
  </r>
  <r>
    <x v="29"/>
    <x v="2"/>
    <x v="100"/>
    <x v="7"/>
    <s v="Pampa Soldadura"/>
    <n v="2"/>
    <s v="unidad"/>
    <n v="10503.75"/>
    <n v="6.9561258278145699"/>
    <n v="0"/>
    <s v="ARS"/>
    <n v="0.21"/>
    <n v="21007.5"/>
    <n v="25419.075000000001"/>
    <n v="16.833824503311259"/>
    <n v="1510"/>
    <m/>
  </r>
  <r>
    <x v="29"/>
    <x v="2"/>
    <x v="101"/>
    <x v="7"/>
    <s v="Pampa Soldadura"/>
    <n v="4"/>
    <s v="unidad"/>
    <n v="16153.27"/>
    <n v="10.697529801324503"/>
    <n v="0"/>
    <s v="ARS"/>
    <n v="0.21"/>
    <n v="64613.08"/>
    <n v="78181.826799999995"/>
    <n v="51.776044238410591"/>
    <n v="1510"/>
    <m/>
  </r>
  <r>
    <x v="29"/>
    <x v="2"/>
    <x v="102"/>
    <x v="7"/>
    <s v="Pampa Soldadura"/>
    <n v="1"/>
    <s v="unidad"/>
    <n v="32098.51"/>
    <n v="21.257291390728476"/>
    <n v="0"/>
    <s v="ARS"/>
    <n v="0.21"/>
    <n v="32098.51"/>
    <n v="38839.197099999998"/>
    <n v="25.721322582781454"/>
    <n v="1510"/>
    <m/>
  </r>
  <r>
    <x v="30"/>
    <x v="2"/>
    <x v="103"/>
    <x v="5"/>
    <s v="Tech Safe"/>
    <n v="9"/>
    <s v="unidad"/>
    <n v="32531"/>
    <n v="21.472607260726072"/>
    <n v="0"/>
    <s v="ARS"/>
    <n v="0.21"/>
    <n v="292779"/>
    <n v="354262.58999999997"/>
    <n v="233.8366930693069"/>
    <n v="1515"/>
    <m/>
  </r>
  <r>
    <x v="30"/>
    <x v="2"/>
    <x v="96"/>
    <x v="5"/>
    <s v="Tech Safe"/>
    <n v="4"/>
    <s v="unidad"/>
    <n v="1981"/>
    <n v="1.3075907590759075"/>
    <n v="0"/>
    <s v="ARS"/>
    <n v="0.21"/>
    <n v="7924"/>
    <n v="9588.0400000000009"/>
    <n v="6.3287392739273933"/>
    <n v="1515"/>
    <m/>
  </r>
  <r>
    <x v="30"/>
    <x v="2"/>
    <x v="104"/>
    <x v="5"/>
    <s v="Tech Safe"/>
    <n v="1"/>
    <s v="unidad"/>
    <n v="9950"/>
    <n v="6.5676567656765679"/>
    <n v="0"/>
    <s v="ARS"/>
    <n v="0.21"/>
    <n v="9950"/>
    <n v="12039.5"/>
    <n v="7.946864686468647"/>
    <n v="1515"/>
    <m/>
  </r>
  <r>
    <x v="30"/>
    <x v="2"/>
    <x v="9"/>
    <x v="5"/>
    <s v="Tech Safe"/>
    <n v="1"/>
    <s v="par"/>
    <n v="651.15"/>
    <n v="0.4298019801980198"/>
    <n v="0"/>
    <s v="ARS"/>
    <n v="0.21"/>
    <n v="651.15"/>
    <n v="787.89149999999995"/>
    <n v="0.52006039603960397"/>
    <n v="1515"/>
    <m/>
  </r>
  <r>
    <x v="30"/>
    <x v="2"/>
    <x v="10"/>
    <x v="5"/>
    <s v="Tech Safe"/>
    <n v="12"/>
    <s v="par"/>
    <n v="651.15"/>
    <n v="0.4298019801980198"/>
    <n v="0"/>
    <s v="ARS"/>
    <n v="0.21"/>
    <n v="7813.7999999999993"/>
    <n v="9454.6979999999985"/>
    <n v="6.2407247524752467"/>
    <n v="1515"/>
    <m/>
  </r>
  <r>
    <x v="30"/>
    <x v="2"/>
    <x v="11"/>
    <x v="5"/>
    <s v="Tech Safe"/>
    <n v="12"/>
    <s v="par"/>
    <n v="4795"/>
    <n v="3.165016501650165"/>
    <n v="0"/>
    <s v="ARS"/>
    <n v="0.21"/>
    <n v="57540"/>
    <n v="69623.399999999994"/>
    <n v="45.956039603960392"/>
    <n v="1515"/>
    <m/>
  </r>
  <r>
    <x v="30"/>
    <x v="2"/>
    <x v="71"/>
    <x v="5"/>
    <s v="Tech Safe"/>
    <n v="1"/>
    <s v="par"/>
    <n v="49509.2"/>
    <n v="32.679339933993397"/>
    <n v="0"/>
    <s v="ARS"/>
    <n v="0.21"/>
    <n v="49509.2"/>
    <n v="59906.131999999998"/>
    <n v="39.542001320132009"/>
    <n v="1515"/>
    <m/>
  </r>
  <r>
    <x v="30"/>
    <x v="2"/>
    <x v="96"/>
    <x v="5"/>
    <s v="Tech Safe"/>
    <n v="2"/>
    <s v="unidad"/>
    <n v="1981"/>
    <n v="1.3075907590759075"/>
    <n v="0"/>
    <s v="ARS"/>
    <n v="0.21"/>
    <n v="3962"/>
    <n v="4794.0200000000004"/>
    <n v="3.1643696369636967"/>
    <n v="1515"/>
    <m/>
  </r>
  <r>
    <x v="30"/>
    <x v="2"/>
    <x v="104"/>
    <x v="5"/>
    <s v="Tech Safe"/>
    <n v="2"/>
    <s v="unidad"/>
    <n v="9950"/>
    <n v="6.5676567656765679"/>
    <n v="0"/>
    <s v="ARS"/>
    <n v="0.21"/>
    <n v="19900"/>
    <n v="24079"/>
    <n v="15.893729372937294"/>
    <n v="1515"/>
    <m/>
  </r>
  <r>
    <x v="30"/>
    <x v="2"/>
    <x v="11"/>
    <x v="5"/>
    <s v="Tech Safe"/>
    <n v="24"/>
    <s v="par"/>
    <n v="4795"/>
    <n v="3.165016501650165"/>
    <n v="0"/>
    <s v="ARS"/>
    <n v="0.21"/>
    <n v="115080"/>
    <n v="139246.79999999999"/>
    <n v="91.912079207920783"/>
    <n v="1515"/>
    <m/>
  </r>
  <r>
    <x v="30"/>
    <x v="2"/>
    <x v="41"/>
    <x v="7"/>
    <s v="Alpamet"/>
    <n v="1"/>
    <s v="unidad"/>
    <n v="28000"/>
    <n v="18.481848184818482"/>
    <n v="0.1"/>
    <s v="ARS"/>
    <n v="0.21"/>
    <n v="25200"/>
    <n v="30492"/>
    <n v="20.126732673267327"/>
    <n v="1515"/>
    <m/>
  </r>
  <r>
    <x v="30"/>
    <x v="2"/>
    <x v="105"/>
    <x v="0"/>
    <s v="Franco Damario"/>
    <n v="1000"/>
    <s v="unidad"/>
    <n v="765"/>
    <n v="0.50495049504950495"/>
    <n v="0"/>
    <s v="ARS"/>
    <n v="0.21"/>
    <n v="765000"/>
    <n v="925650"/>
    <n v="610.99009900990097"/>
    <n v="1515"/>
    <m/>
  </r>
  <r>
    <x v="31"/>
    <x v="2"/>
    <x v="44"/>
    <x v="0"/>
    <s v="Aserradero Alonso"/>
    <n v="300"/>
    <s v="unidad"/>
    <n v="1209.3802000000001"/>
    <n v="0.80091403973509934"/>
    <n v="0.1"/>
    <s v="ARS"/>
    <n v="0.21"/>
    <n v="326532.65399999998"/>
    <n v="395104.51133999997"/>
    <n v="261.65861678145694"/>
    <n v="1510"/>
    <m/>
  </r>
  <r>
    <x v="32"/>
    <x v="2"/>
    <x v="1"/>
    <x v="1"/>
    <s v="Zicari Mariana Elena"/>
    <n v="10"/>
    <s v="unidad"/>
    <n v="5900"/>
    <n v="3.9072847682119205"/>
    <n v="0"/>
    <s v="ARS"/>
    <n v="0.21"/>
    <n v="59000"/>
    <n v="71390"/>
    <n v="47.278145695364238"/>
    <n v="1510"/>
    <m/>
  </r>
  <r>
    <x v="32"/>
    <x v="2"/>
    <x v="2"/>
    <x v="1"/>
    <s v="Zicari Mariana Elena"/>
    <n v="4"/>
    <s v="unidad"/>
    <n v="16720"/>
    <n v="11.072847682119205"/>
    <n v="0.15"/>
    <s v="ARS"/>
    <n v="0.21"/>
    <n v="56848"/>
    <n v="68786.080000000002"/>
    <n v="45.553695364238415"/>
    <n v="1510"/>
    <m/>
  </r>
  <r>
    <x v="33"/>
    <x v="2"/>
    <x v="44"/>
    <x v="0"/>
    <s v="Aserradero Alonso"/>
    <n v="300"/>
    <s v="unidad"/>
    <n v="1209.380165"/>
    <n v="0.80894994314381274"/>
    <n v="0.1"/>
    <s v="ARS"/>
    <n v="0.21"/>
    <n v="326532.64455000003"/>
    <n v="395104.49990550004"/>
    <n v="264.28394642508363"/>
    <n v="1495"/>
    <m/>
  </r>
  <r>
    <x v="33"/>
    <x v="2"/>
    <x v="74"/>
    <x v="0"/>
    <s v="Adamat"/>
    <n v="5"/>
    <s v="bolsa"/>
    <n v="6169.95"/>
    <n v="4.1270568561872905"/>
    <n v="0.4"/>
    <s v="ARS"/>
    <n v="0.21"/>
    <n v="18509.849999999999"/>
    <n v="22396.9185"/>
    <n v="14.981216387959867"/>
    <n v="1495"/>
    <m/>
  </r>
  <r>
    <x v="33"/>
    <x v="2"/>
    <x v="36"/>
    <x v="0"/>
    <s v="Adamat"/>
    <n v="20"/>
    <s v="bolsa"/>
    <n v="22056.94"/>
    <n v="14.753806020066889"/>
    <n v="0.4"/>
    <s v="ARS"/>
    <n v="0.21"/>
    <n v="264683.27999999997"/>
    <n v="320266.76879999996"/>
    <n v="214.2252634113712"/>
    <n v="1495"/>
    <m/>
  </r>
  <r>
    <x v="33"/>
    <x v="2"/>
    <x v="57"/>
    <x v="0"/>
    <s v="Plásticos Aloha"/>
    <n v="9"/>
    <s v="kg"/>
    <n v="7620"/>
    <n v="5.0969899665551841"/>
    <n v="0"/>
    <s v="ARS"/>
    <n v="0.21"/>
    <n v="68580"/>
    <n v="82981.8"/>
    <n v="55.506220735785952"/>
    <n v="1495"/>
    <m/>
  </r>
  <r>
    <x v="34"/>
    <x v="2"/>
    <x v="41"/>
    <x v="7"/>
    <s v="Alpamet"/>
    <n v="1"/>
    <s v="unidad"/>
    <n v="28000"/>
    <n v="18.729096989966557"/>
    <n v="0.1"/>
    <s v="ARS"/>
    <n v="0.21"/>
    <n v="25200"/>
    <n v="30492"/>
    <n v="20.395986622073579"/>
    <n v="1495"/>
    <m/>
  </r>
  <r>
    <x v="34"/>
    <x v="2"/>
    <x v="41"/>
    <x v="7"/>
    <s v="Alpamet"/>
    <n v="1"/>
    <s v="unidad"/>
    <n v="37000"/>
    <n v="24.749163879598662"/>
    <n v="0.1"/>
    <s v="ARS"/>
    <n v="0.21"/>
    <n v="33300"/>
    <n v="40293"/>
    <n v="26.951839464882944"/>
    <n v="1495"/>
    <m/>
  </r>
  <r>
    <x v="35"/>
    <x v="2"/>
    <x v="3"/>
    <x v="2"/>
    <s v="Distribuidora Tubulón"/>
    <n v="93000"/>
    <s v="unidad"/>
    <n v="19.775860000000002"/>
    <n v="1.3228E-2"/>
    <n v="0.15379999999999999"/>
    <s v="ARS"/>
    <n v="0.21"/>
    <n v="1556292.9440760002"/>
    <n v="1883114.4623319602"/>
    <n v="1259.6083360080002"/>
    <n v="1495"/>
    <m/>
  </r>
  <r>
    <x v="35"/>
    <x v="2"/>
    <x v="106"/>
    <x v="3"/>
    <s v="Diprov"/>
    <n v="5"/>
    <s v="unidad"/>
    <n v="5546.45"/>
    <n v="3.71"/>
    <n v="0"/>
    <s v="ARS"/>
    <n v="0.21"/>
    <n v="27732.25"/>
    <n v="33556.022499999999"/>
    <n v="22.445499999999999"/>
    <n v="1495"/>
    <m/>
  </r>
  <r>
    <x v="36"/>
    <x v="2"/>
    <x v="0"/>
    <x v="0"/>
    <s v="Mad Packaging"/>
    <n v="188"/>
    <s v="kg"/>
    <n v="4335.5"/>
    <n v="2.8903333333333334"/>
    <n v="0"/>
    <s v="ARS"/>
    <n v="0.21"/>
    <n v="815074"/>
    <n v="986239.54"/>
    <n v="657.49302666666665"/>
    <n v="1500"/>
    <s v="Tomaron TC 1495"/>
  </r>
  <r>
    <x v="36"/>
    <x v="2"/>
    <x v="75"/>
    <x v="0"/>
    <s v="Mad Packaging"/>
    <n v="18.8"/>
    <s v="kg"/>
    <n v="4634.5"/>
    <n v="3.0896666666666666"/>
    <n v="0"/>
    <s v="ARS"/>
    <n v="0.21"/>
    <n v="87128.6"/>
    <n v="105425.606"/>
    <n v="70.283737333333335"/>
    <n v="1500"/>
    <m/>
  </r>
  <r>
    <x v="36"/>
    <x v="2"/>
    <x v="60"/>
    <x v="0"/>
    <s v="Frío Acero"/>
    <n v="320"/>
    <s v="unidad"/>
    <n v="186.38"/>
    <n v="0.12425333333333333"/>
    <n v="0"/>
    <s v="ARS"/>
    <n v="0.21"/>
    <n v="59641.599999999999"/>
    <n v="72166.335999999996"/>
    <n v="48.110890666666663"/>
    <n v="1500"/>
    <m/>
  </r>
  <r>
    <x v="36"/>
    <x v="2"/>
    <x v="61"/>
    <x v="0"/>
    <s v="Frío Acero"/>
    <n v="504"/>
    <s v="unidad"/>
    <n v="266.25"/>
    <n v="0.17749999999999999"/>
    <n v="0"/>
    <s v="ARS"/>
    <n v="0.21"/>
    <n v="134190"/>
    <n v="162369.9"/>
    <n v="108.2466"/>
    <n v="1500"/>
    <m/>
  </r>
  <r>
    <x v="36"/>
    <x v="2"/>
    <x v="107"/>
    <x v="7"/>
    <s v="Coiro"/>
    <n v="3"/>
    <s v="unidad"/>
    <n v="19586.776900000001"/>
    <n v="13.057851266666667"/>
    <n v="0"/>
    <s v="ARS"/>
    <n v="0.21"/>
    <n v="58760.330700000006"/>
    <n v="71100.000147000013"/>
    <n v="47.400000098000007"/>
    <n v="1500"/>
    <s v="Marca Bremen"/>
  </r>
  <r>
    <x v="36"/>
    <x v="2"/>
    <x v="108"/>
    <x v="1"/>
    <s v="Librería Maya"/>
    <n v="5"/>
    <s v="unidad"/>
    <n v="1621.5"/>
    <n v="1.081"/>
    <n v="0"/>
    <s v="ARS"/>
    <n v="0.21"/>
    <n v="8107.5"/>
    <n v="9810.0750000000007"/>
    <n v="6.5400500000000008"/>
    <n v="1500"/>
    <m/>
  </r>
  <r>
    <x v="36"/>
    <x v="2"/>
    <x v="109"/>
    <x v="1"/>
    <s v="Librería Maya"/>
    <n v="5"/>
    <s v="unidad"/>
    <n v="538.13"/>
    <n v="0.35875333333333331"/>
    <n v="0"/>
    <s v="ARS"/>
    <n v="0.21"/>
    <n v="2690.65"/>
    <n v="3255.6865000000003"/>
    <n v="2.1704576666666666"/>
    <n v="1500"/>
    <m/>
  </r>
  <r>
    <x v="36"/>
    <x v="2"/>
    <x v="110"/>
    <x v="1"/>
    <s v="Librería Maya"/>
    <n v="3"/>
    <s v="unidad"/>
    <n v="3948"/>
    <n v="2.6320000000000001"/>
    <n v="0"/>
    <s v="ARS"/>
    <n v="0.21"/>
    <n v="11844"/>
    <n v="14331.24"/>
    <n v="9.5541599999999995"/>
    <n v="1500"/>
    <m/>
  </r>
  <r>
    <x v="36"/>
    <x v="2"/>
    <x v="111"/>
    <x v="1"/>
    <s v="Librería Maya"/>
    <n v="36"/>
    <s v="unidad"/>
    <n v="185.44"/>
    <n v="0.12362666666666666"/>
    <n v="0"/>
    <s v="ARS"/>
    <n v="0.21"/>
    <n v="6675.84"/>
    <n v="8077.7664000000004"/>
    <n v="5.3851776000000005"/>
    <n v="1500"/>
    <m/>
  </r>
  <r>
    <x v="37"/>
    <x v="2"/>
    <x v="112"/>
    <x v="5"/>
    <s v="Aníbal Roncoroni"/>
    <n v="4"/>
    <s v="unidad"/>
    <n v="23500"/>
    <n v="15.666666666666666"/>
    <n v="0"/>
    <s v="ARS"/>
    <n v="0.21"/>
    <n v="94000"/>
    <n v="113740"/>
    <n v="75.826666666666668"/>
    <n v="1500"/>
    <m/>
  </r>
  <r>
    <x v="37"/>
    <x v="2"/>
    <x v="76"/>
    <x v="5"/>
    <s v="Aníbal Roncoroni"/>
    <n v="1"/>
    <s v="unidad"/>
    <n v="32000"/>
    <n v="21.333333333333332"/>
    <n v="0"/>
    <s v="ARS"/>
    <n v="0.21"/>
    <n v="32000"/>
    <n v="38720"/>
    <n v="25.813333333333333"/>
    <n v="1500"/>
    <m/>
  </r>
  <r>
    <x v="37"/>
    <x v="2"/>
    <x v="71"/>
    <x v="5"/>
    <s v="Aníbal Roncoroni"/>
    <n v="1"/>
    <s v="unidad"/>
    <n v="59000"/>
    <n v="39.333333333333336"/>
    <n v="0"/>
    <s v="ARS"/>
    <n v="0.21"/>
    <n v="59000"/>
    <n v="71390"/>
    <n v="47.593333333333334"/>
    <n v="1500"/>
    <m/>
  </r>
  <r>
    <x v="37"/>
    <x v="2"/>
    <x v="113"/>
    <x v="1"/>
    <s v="Librería Maya"/>
    <n v="2"/>
    <s v="unidad"/>
    <n v="13105.91"/>
    <n v="8.7372733333333326"/>
    <n v="0"/>
    <s v="ARS"/>
    <n v="0.21"/>
    <n v="26211.82"/>
    <n v="31716.302199999998"/>
    <n v="21.144201466666665"/>
    <n v="1500"/>
    <m/>
  </r>
  <r>
    <x v="38"/>
    <x v="2"/>
    <x v="9"/>
    <x v="5"/>
    <s v="Tech Safe"/>
    <n v="48"/>
    <s v="par"/>
    <n v="651.15"/>
    <n v="0.43265780730897008"/>
    <n v="0"/>
    <s v="ARS"/>
    <n v="0.21"/>
    <n v="31255.199999999997"/>
    <n v="37818.791999999994"/>
    <n v="25.128765448504979"/>
    <n v="1505"/>
    <m/>
  </r>
  <r>
    <x v="38"/>
    <x v="2"/>
    <x v="10"/>
    <x v="5"/>
    <s v="Tech Safe"/>
    <n v="60"/>
    <s v="par"/>
    <n v="651.15"/>
    <n v="0.43265780730897008"/>
    <n v="0"/>
    <s v="ARS"/>
    <n v="0.21"/>
    <n v="39069"/>
    <n v="47273.49"/>
    <n v="31.410956810631227"/>
    <n v="1505"/>
    <m/>
  </r>
  <r>
    <x v="38"/>
    <x v="2"/>
    <x v="11"/>
    <x v="5"/>
    <s v="Tech Safe"/>
    <n v="24"/>
    <s v="par"/>
    <n v="4482"/>
    <n v="2.9780730897009966"/>
    <n v="0"/>
    <s v="ARS"/>
    <n v="0.21"/>
    <n v="107568"/>
    <n v="130157.28"/>
    <n v="86.483242524916946"/>
    <n v="1505"/>
    <s v="Mejora de precio de un 7%"/>
  </r>
  <r>
    <x v="38"/>
    <x v="2"/>
    <x v="36"/>
    <x v="0"/>
    <s v="Adamat"/>
    <n v="25"/>
    <s v="bolsa"/>
    <n v="22056.94"/>
    <n v="14.655774086378736"/>
    <n v="0.4"/>
    <s v="ARS"/>
    <n v="0.21"/>
    <n v="330854.09999999998"/>
    <n v="400333.46099999995"/>
    <n v="266.00229966777408"/>
    <n v="1505"/>
    <m/>
  </r>
  <r>
    <x v="38"/>
    <x v="2"/>
    <x v="16"/>
    <x v="2"/>
    <s v="Disur"/>
    <n v="50000"/>
    <s v="unidad"/>
    <n v="27.97"/>
    <n v="1.8584717607973422E-2"/>
    <n v="0"/>
    <s v="ARS"/>
    <n v="0.21"/>
    <n v="1398500"/>
    <n v="1692185"/>
    <n v="1124.3754152823919"/>
    <n v="1505"/>
    <m/>
  </r>
  <r>
    <x v="38"/>
    <x v="2"/>
    <x v="3"/>
    <x v="2"/>
    <s v="Disur"/>
    <n v="50000"/>
    <s v="unidad"/>
    <n v="16"/>
    <n v="1.0631229235880399E-2"/>
    <n v="0"/>
    <s v="ARS"/>
    <n v="0.21"/>
    <n v="800000"/>
    <n v="968000"/>
    <n v="643.18936877076408"/>
    <n v="1505"/>
    <m/>
  </r>
  <r>
    <x v="38"/>
    <x v="2"/>
    <x v="114"/>
    <x v="2"/>
    <s v="Disur"/>
    <n v="15000"/>
    <s v="unidad"/>
    <n v="107.51"/>
    <n v="7.1435215946843864E-2"/>
    <n v="0"/>
    <s v="ARS"/>
    <n v="0.21"/>
    <n v="1612650"/>
    <n v="1951306.5"/>
    <n v="1296.5491694352158"/>
    <n v="1505"/>
    <m/>
  </r>
  <r>
    <x v="38"/>
    <x v="2"/>
    <x v="12"/>
    <x v="2"/>
    <s v="Disur"/>
    <n v="32.6"/>
    <s v="kg"/>
    <n v="4800"/>
    <n v="3.1893687707641196"/>
    <n v="0"/>
    <s v="ARS"/>
    <n v="0.21"/>
    <n v="156480"/>
    <n v="189340.79999999999"/>
    <n v="125.80784053156145"/>
    <n v="1505"/>
    <m/>
  </r>
  <r>
    <x v="38"/>
    <x v="2"/>
    <x v="14"/>
    <x v="2"/>
    <s v="Disur"/>
    <n v="20"/>
    <s v="kg"/>
    <n v="4890"/>
    <n v="3.249169435215947"/>
    <n v="0"/>
    <s v="ARS"/>
    <n v="0.21"/>
    <n v="97800"/>
    <n v="118338"/>
    <n v="78.629900332225915"/>
    <n v="1505"/>
    <m/>
  </r>
  <r>
    <x v="38"/>
    <x v="2"/>
    <x v="13"/>
    <x v="2"/>
    <s v="Disur"/>
    <n v="25"/>
    <s v="kg"/>
    <n v="4185"/>
    <n v="2.7807308970099669"/>
    <n v="0"/>
    <s v="ARS"/>
    <n v="0.21"/>
    <n v="104625"/>
    <n v="126596.25"/>
    <n v="84.117109634551497"/>
    <n v="1505"/>
    <m/>
  </r>
  <r>
    <x v="38"/>
    <x v="2"/>
    <x v="92"/>
    <x v="2"/>
    <s v="Disur"/>
    <n v="5000"/>
    <s v="unidad"/>
    <n v="235.44"/>
    <n v="0.15643853820598005"/>
    <n v="0"/>
    <s v="ARS"/>
    <n v="0.21"/>
    <n v="1177200"/>
    <n v="1424412"/>
    <n v="946.45315614617937"/>
    <n v="1505"/>
    <m/>
  </r>
  <r>
    <x v="38"/>
    <x v="2"/>
    <x v="17"/>
    <x v="2"/>
    <s v="Disur"/>
    <n v="10000"/>
    <m/>
    <n v="12.5"/>
    <n v="8.3056478405315621E-3"/>
    <n v="0"/>
    <s v="ARS"/>
    <n v="0.21"/>
    <n v="125000"/>
    <n v="151250"/>
    <n v="100.49833887043189"/>
    <n v="1505"/>
    <m/>
  </r>
  <r>
    <x v="38"/>
    <x v="2"/>
    <x v="41"/>
    <x v="7"/>
    <s v="Alpamet"/>
    <n v="1"/>
    <s v="unidad"/>
    <n v="28000"/>
    <n v="18.604651162790699"/>
    <n v="0.1"/>
    <s v="ARS"/>
    <n v="0.21"/>
    <n v="25200"/>
    <n v="30492"/>
    <n v="20.260465116279068"/>
    <n v="1505"/>
    <m/>
  </r>
  <r>
    <x v="38"/>
    <x v="2"/>
    <x v="41"/>
    <x v="7"/>
    <s v="Alpamet"/>
    <n v="1"/>
    <s v="unidad"/>
    <n v="37000"/>
    <n v="24.58471760797342"/>
    <n v="0.1"/>
    <s v="ARS"/>
    <n v="0.21"/>
    <n v="33300"/>
    <n v="40293"/>
    <n v="26.772757475083058"/>
    <n v="1505"/>
    <m/>
  </r>
  <r>
    <x v="38"/>
    <x v="2"/>
    <x v="42"/>
    <x v="7"/>
    <s v="Alpamet"/>
    <n v="2"/>
    <s v="unidad"/>
    <n v="59500"/>
    <n v="39.534883720930232"/>
    <n v="0"/>
    <s v="ARS"/>
    <n v="0.21"/>
    <n v="119000"/>
    <n v="143990"/>
    <n v="95.674418604651166"/>
    <n v="1505"/>
    <m/>
  </r>
  <r>
    <x v="39"/>
    <x v="2"/>
    <x v="7"/>
    <x v="4"/>
    <s v="Esdevi - Valeria"/>
    <n v="8"/>
    <s v="bolsa"/>
    <n v="7300"/>
    <n v="4.8184818481848186"/>
    <n v="0"/>
    <s v="ARS"/>
    <m/>
    <n v="58400"/>
    <n v="58400"/>
    <n v="38.547854785478549"/>
    <n v="1515"/>
    <m/>
  </r>
  <r>
    <x v="39"/>
    <x v="2"/>
    <x v="8"/>
    <x v="4"/>
    <s v="Esdevi - Valeria"/>
    <n v="10"/>
    <s v="bolsa"/>
    <n v="9900"/>
    <n v="6.5346534653465342"/>
    <n v="0"/>
    <s v="ARS"/>
    <m/>
    <n v="99000"/>
    <n v="99000"/>
    <n v="65.346534653465341"/>
    <n v="1515"/>
    <m/>
  </r>
  <r>
    <x v="40"/>
    <x v="2"/>
    <x v="5"/>
    <x v="3"/>
    <s v="Roberto Gustavo Q."/>
    <n v="20"/>
    <s v="m3"/>
    <n v="18500"/>
    <n v="12.171052631578947"/>
    <n v="0"/>
    <s v="ARS"/>
    <m/>
    <n v="370000"/>
    <n v="370000"/>
    <n v="243.42105263157896"/>
    <n v="1520"/>
    <m/>
  </r>
  <r>
    <x v="40"/>
    <x v="2"/>
    <x v="6"/>
    <x v="3"/>
    <s v="Roberto Gustavo Q."/>
    <n v="2"/>
    <s v="rollo"/>
    <n v="80000"/>
    <n v="52.631578947368418"/>
    <n v="0"/>
    <s v="ARS"/>
    <m/>
    <n v="160000"/>
    <n v="160000"/>
    <n v="105.26315789473684"/>
    <n v="1520"/>
    <m/>
  </r>
  <r>
    <x v="40"/>
    <x v="2"/>
    <x v="20"/>
    <x v="4"/>
    <s v="Imperio de la Limpieza"/>
    <n v="5"/>
    <s v="unidad"/>
    <n v="3462.8"/>
    <n v="2.2781578947368422"/>
    <n v="0"/>
    <s v="ARS"/>
    <n v="0.21"/>
    <n v="17314"/>
    <n v="20949.939999999999"/>
    <n v="13.782855263157893"/>
    <n v="1520"/>
    <m/>
  </r>
  <r>
    <x v="40"/>
    <x v="2"/>
    <x v="21"/>
    <x v="4"/>
    <s v="Imperio de la Limpieza"/>
    <n v="15"/>
    <s v="paquete"/>
    <n v="611.57000000000005"/>
    <n v="0.40234868421052633"/>
    <n v="0"/>
    <s v="ARS"/>
    <n v="0.21"/>
    <n v="9173.5500000000011"/>
    <n v="11099.995500000001"/>
    <n v="7.3026286184210534"/>
    <n v="1520"/>
    <m/>
  </r>
  <r>
    <x v="40"/>
    <x v="2"/>
    <x v="22"/>
    <x v="4"/>
    <s v="Imperio de la Limpieza"/>
    <n v="10"/>
    <s v="paquete"/>
    <n v="1876.03"/>
    <n v="1.2342302631578947"/>
    <n v="0"/>
    <s v="ARS"/>
    <n v="0.21"/>
    <n v="18760.3"/>
    <n v="22699.963"/>
    <n v="14.934186184210526"/>
    <n v="1520"/>
    <m/>
  </r>
  <r>
    <x v="40"/>
    <x v="2"/>
    <x v="23"/>
    <x v="4"/>
    <s v="Imperio de la Limpieza"/>
    <n v="2"/>
    <s v="unidad"/>
    <n v="553.71"/>
    <n v="0.36428289473684211"/>
    <n v="0"/>
    <s v="ARS"/>
    <n v="0.21"/>
    <n v="1107.42"/>
    <n v="1339.9782"/>
    <n v="0.88156460526315794"/>
    <n v="1520"/>
    <m/>
  </r>
  <r>
    <x v="40"/>
    <x v="2"/>
    <x v="24"/>
    <x v="4"/>
    <s v="Imperio de la Limpieza"/>
    <n v="5"/>
    <s v="bidón"/>
    <n v="2933.88"/>
    <n v="1.9301842105263158"/>
    <n v="0"/>
    <s v="ARS"/>
    <n v="0.21"/>
    <n v="14669.400000000001"/>
    <n v="17749.974000000002"/>
    <n v="11.677614473684212"/>
    <n v="1520"/>
    <m/>
  </r>
  <r>
    <x v="40"/>
    <x v="2"/>
    <x v="25"/>
    <x v="4"/>
    <s v="Imperio de la Limpieza"/>
    <n v="1"/>
    <s v="unidad"/>
    <n v="2917.35"/>
    <n v="1.9193092105263156"/>
    <n v="0"/>
    <s v="ARS"/>
    <n v="0.21"/>
    <n v="2917.35"/>
    <n v="3529.9934999999996"/>
    <n v="2.3223641447368419"/>
    <n v="1520"/>
    <m/>
  </r>
  <r>
    <x v="40"/>
    <x v="2"/>
    <x v="26"/>
    <x v="4"/>
    <s v="Imperio de la Limpieza"/>
    <n v="1"/>
    <s v="bidón"/>
    <n v="9008.26"/>
    <n v="5.9264868421052634"/>
    <n v="0"/>
    <s v="ARS"/>
    <n v="0.21"/>
    <n v="9008.26"/>
    <n v="10899.9946"/>
    <n v="7.1710490789473686"/>
    <n v="1520"/>
    <m/>
  </r>
  <r>
    <x v="40"/>
    <x v="2"/>
    <x v="27"/>
    <x v="4"/>
    <s v="Imperio de la Limpieza"/>
    <n v="3"/>
    <s v="bidón"/>
    <n v="9000"/>
    <n v="5.9210526315789478"/>
    <n v="0"/>
    <s v="ARS"/>
    <n v="0.21"/>
    <n v="27000"/>
    <n v="32670"/>
    <n v="21.493421052631579"/>
    <n v="1520"/>
    <m/>
  </r>
  <r>
    <x v="40"/>
    <x v="2"/>
    <x v="115"/>
    <x v="4"/>
    <s v="Imperio de la Limpieza"/>
    <n v="2"/>
    <s v="bidón"/>
    <n v="3801.65"/>
    <n v="2.5010855263157894"/>
    <n v="0"/>
    <s v="ARS"/>
    <n v="0.21"/>
    <n v="7603.3"/>
    <n v="9199.9930000000004"/>
    <n v="6.0526269736842107"/>
    <n v="1520"/>
    <m/>
  </r>
  <r>
    <x v="40"/>
    <x v="2"/>
    <x v="77"/>
    <x v="4"/>
    <s v="Imperio de la Limpieza"/>
    <n v="1"/>
    <s v="bidón"/>
    <n v="14380.16"/>
    <n v="9.4606315789473676"/>
    <n v="0"/>
    <s v="ARS"/>
    <n v="0.21"/>
    <n v="14380.16"/>
    <n v="17399.993600000002"/>
    <n v="11.447364210526317"/>
    <n v="1520"/>
    <m/>
  </r>
  <r>
    <x v="40"/>
    <x v="2"/>
    <x v="116"/>
    <x v="4"/>
    <s v="Imperio de la Limpieza"/>
    <n v="2"/>
    <s v="unidad"/>
    <n v="12851.23"/>
    <n v="8.454756578947368"/>
    <n v="0"/>
    <s v="ARS"/>
    <n v="0.21"/>
    <n v="25702.46"/>
    <n v="31099.976599999998"/>
    <n v="20.460510921052631"/>
    <n v="1520"/>
    <m/>
  </r>
  <r>
    <x v="40"/>
    <x v="2"/>
    <x v="28"/>
    <x v="4"/>
    <s v="Imperio de la Limpieza"/>
    <n v="1"/>
    <s v="unidad"/>
    <n v="743.8"/>
    <n v="0.48934210526315786"/>
    <n v="0"/>
    <s v="ARS"/>
    <n v="0.21"/>
    <n v="743.8"/>
    <n v="899.99799999999993"/>
    <n v="0.59210394736842098"/>
    <n v="1520"/>
    <m/>
  </r>
  <r>
    <x v="40"/>
    <x v="2"/>
    <x v="29"/>
    <x v="4"/>
    <s v="Imperio de la Limpieza"/>
    <n v="1"/>
    <s v="unidad"/>
    <n v="1661.15"/>
    <n v="1.0928618421052632"/>
    <n v="0"/>
    <s v="ARS"/>
    <n v="0.21"/>
    <n v="1661.15"/>
    <n v="2009.9915000000001"/>
    <n v="1.3223628289473686"/>
    <n v="1520"/>
    <m/>
  </r>
  <r>
    <x v="40"/>
    <x v="2"/>
    <x v="30"/>
    <x v="4"/>
    <s v="Imperio de la Limpieza"/>
    <n v="11"/>
    <s v="unidad"/>
    <n v="5099.17"/>
    <n v="3.3547171052631581"/>
    <n v="0"/>
    <s v="ARS"/>
    <n v="0.21"/>
    <n v="56090.87"/>
    <n v="67869.952700000009"/>
    <n v="44.651284671052636"/>
    <n v="1520"/>
    <m/>
  </r>
  <r>
    <x v="40"/>
    <x v="2"/>
    <x v="78"/>
    <x v="4"/>
    <s v="Imperio de la Limpieza"/>
    <n v="2"/>
    <s v="unidad"/>
    <n v="46826.44"/>
    <n v="30.806868421052634"/>
    <n v="0"/>
    <s v="ARS"/>
    <n v="0.21"/>
    <n v="93652.88"/>
    <n v="113319.98480000001"/>
    <n v="74.552621578947367"/>
    <n v="1520"/>
    <m/>
  </r>
  <r>
    <x v="40"/>
    <x v="2"/>
    <x v="78"/>
    <x v="4"/>
    <s v="Imperio de la Limpieza"/>
    <n v="3"/>
    <s v="unidad"/>
    <n v="14553.71"/>
    <n v="9.5748092105263147"/>
    <n v="0"/>
    <s v="ARS"/>
    <n v="0.21"/>
    <n v="43661.13"/>
    <n v="52829.967299999997"/>
    <n v="34.756557434210521"/>
    <n v="1520"/>
    <m/>
  </r>
  <r>
    <x v="40"/>
    <x v="2"/>
    <x v="31"/>
    <x v="4"/>
    <s v="Imperio de la Limpieza"/>
    <n v="3"/>
    <s v="unidad"/>
    <n v="719"/>
    <n v="0.47302631578947368"/>
    <n v="0"/>
    <s v="ARS"/>
    <n v="0.21"/>
    <n v="2157"/>
    <n v="2609.9699999999998"/>
    <n v="1.7170855263157894"/>
    <n v="1520"/>
    <m/>
  </r>
  <r>
    <x v="41"/>
    <x v="2"/>
    <x v="57"/>
    <x v="0"/>
    <s v="Plásticos Aloha"/>
    <n v="30"/>
    <s v="kg"/>
    <n v="7620"/>
    <n v="5.0131578947368425"/>
    <n v="0"/>
    <s v="ARS"/>
    <n v="0.21"/>
    <n v="228600"/>
    <n v="276606"/>
    <n v="181.97763157894738"/>
    <n v="1520"/>
    <m/>
  </r>
  <r>
    <x v="40"/>
    <x v="2"/>
    <x v="84"/>
    <x v="0"/>
    <s v="Formaco"/>
    <n v="103.7"/>
    <s v="kg"/>
    <n v="3678.4"/>
    <n v="2.42"/>
    <n v="0"/>
    <s v="ARS"/>
    <n v="0.21"/>
    <n v="381450.08"/>
    <n v="461554.5968"/>
    <n v="303.65433999999999"/>
    <n v="1520"/>
    <m/>
  </r>
  <r>
    <x v="42"/>
    <x v="2"/>
    <x v="46"/>
    <x v="2"/>
    <s v="Dusvar"/>
    <n v="2000"/>
    <s v="unidad"/>
    <n v="463.05"/>
    <n v="0.30463815789473686"/>
    <n v="0"/>
    <s v="ARS"/>
    <n v="0.21"/>
    <n v="926100"/>
    <n v="1120581"/>
    <n v="737.22434210526319"/>
    <n v="1520"/>
    <m/>
  </r>
  <r>
    <x v="42"/>
    <x v="2"/>
    <x v="47"/>
    <x v="2"/>
    <s v="Dusvar"/>
    <n v="1000"/>
    <s v="unidad"/>
    <n v="730.26"/>
    <n v="0.4804342105263158"/>
    <n v="0"/>
    <s v="ARS"/>
    <n v="0.21"/>
    <n v="730260"/>
    <n v="883614.6"/>
    <n v="581.3253947368421"/>
    <n v="1520"/>
    <m/>
  </r>
  <r>
    <x v="42"/>
    <x v="2"/>
    <x v="59"/>
    <x v="2"/>
    <s v="Dusvar"/>
    <n v="700"/>
    <s v="unidad"/>
    <n v="1026"/>
    <n v="0.67500000000000004"/>
    <n v="0"/>
    <s v="ARS"/>
    <n v="0.21"/>
    <n v="718200"/>
    <n v="869022"/>
    <n v="571.72500000000002"/>
    <n v="152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3"/>
    <x v="117"/>
    <x v="12"/>
    <m/>
    <m/>
    <m/>
    <m/>
    <e v="#DIV/0!"/>
    <m/>
    <m/>
    <m/>
    <n v="0"/>
    <n v="0"/>
    <e v="#DIV/0!"/>
    <n v="0"/>
    <m/>
  </r>
  <r>
    <x v="43"/>
    <x v="4"/>
    <x v="117"/>
    <x v="13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AB12CC-A2EF-4161-BB4F-A78964A9F90E}" name="TablaDinámica2" cacheId="2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4:G41" firstHeaderRow="1" firstDataRow="1" firstDataCol="1" rowPageCount="2" colPageCount="1"/>
  <pivotFields count="17">
    <pivotField axis="axisPage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21"/>
        <item x="22"/>
        <item x="23"/>
        <item x="24"/>
        <item x="25"/>
        <item x="26"/>
        <item x="27"/>
        <item x="28"/>
        <item x="29"/>
        <item x="30"/>
        <item x="31"/>
        <item x="33"/>
        <item x="35"/>
        <item x="36"/>
        <item x="42"/>
        <item x="16"/>
        <item x="17"/>
        <item x="18"/>
        <item x="19"/>
        <item x="20"/>
        <item x="32"/>
        <item x="34"/>
        <item x="37"/>
        <item x="38"/>
        <item x="39"/>
        <item x="40"/>
        <item x="41"/>
        <item t="default"/>
      </items>
    </pivotField>
    <pivotField axis="axisPage" showAll="0">
      <items count="5">
        <item x="3"/>
        <item x="0"/>
        <item x="1"/>
        <item x="2"/>
        <item t="default"/>
      </items>
    </pivotField>
    <pivotField showAll="0"/>
    <pivotField showAll="0"/>
    <pivotField axis="axisRow" showAll="0" sortType="descending">
      <items count="37">
        <item x="10"/>
        <item x="12"/>
        <item x="17"/>
        <item x="16"/>
        <item x="2"/>
        <item x="6"/>
        <item x="15"/>
        <item x="30"/>
        <item x="4"/>
        <item x="31"/>
        <item x="29"/>
        <item x="22"/>
        <item x="20"/>
        <item x="7"/>
        <item x="0"/>
        <item x="14"/>
        <item x="28"/>
        <item x="8"/>
        <item x="21"/>
        <item x="9"/>
        <item x="3"/>
        <item x="11"/>
        <item x="5"/>
        <item x="1"/>
        <item x="35"/>
        <item x="13"/>
        <item x="18"/>
        <item x="19"/>
        <item x="23"/>
        <item x="24"/>
        <item x="25"/>
        <item x="26"/>
        <item x="27"/>
        <item x="32"/>
        <item x="33"/>
        <item x="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numFmtId="44" showAll="0"/>
    <pivotField numFmtId="44" showAll="0"/>
    <pivotField showAll="0"/>
    <pivotField showAll="0"/>
    <pivotField showAll="0"/>
  </pivotFields>
  <rowFields count="1">
    <field x="4"/>
  </rowFields>
  <rowItems count="37">
    <i>
      <x v="5"/>
    </i>
    <i>
      <x v="6"/>
    </i>
    <i>
      <x v="18"/>
    </i>
    <i>
      <x v="4"/>
    </i>
    <i>
      <x v="14"/>
    </i>
    <i>
      <x v="2"/>
    </i>
    <i>
      <x v="1"/>
    </i>
    <i>
      <x v="17"/>
    </i>
    <i>
      <x v="20"/>
    </i>
    <i>
      <x/>
    </i>
    <i>
      <x v="30"/>
    </i>
    <i>
      <x v="22"/>
    </i>
    <i>
      <x v="16"/>
    </i>
    <i>
      <x v="27"/>
    </i>
    <i>
      <x v="15"/>
    </i>
    <i>
      <x v="34"/>
    </i>
    <i>
      <x v="13"/>
    </i>
    <i>
      <x v="25"/>
    </i>
    <i>
      <x v="12"/>
    </i>
    <i>
      <x v="8"/>
    </i>
    <i>
      <x v="31"/>
    </i>
    <i>
      <x v="10"/>
    </i>
    <i>
      <x v="11"/>
    </i>
    <i>
      <x v="23"/>
    </i>
    <i>
      <x v="19"/>
    </i>
    <i>
      <x v="7"/>
    </i>
    <i>
      <x v="21"/>
    </i>
    <i>
      <x v="32"/>
    </i>
    <i>
      <x v="26"/>
    </i>
    <i>
      <x v="33"/>
    </i>
    <i>
      <x v="28"/>
    </i>
    <i>
      <x v="9"/>
    </i>
    <i>
      <x v="35"/>
    </i>
    <i>
      <x v="3"/>
    </i>
    <i>
      <x v="29"/>
    </i>
    <i>
      <x v="24"/>
    </i>
    <i t="grand">
      <x/>
    </i>
  </rowItems>
  <colItems count="1">
    <i/>
  </colItems>
  <pageFields count="2">
    <pageField fld="1" hier="-1"/>
    <pageField fld="0" hier="-1"/>
  </pageFields>
  <dataFields count="1">
    <dataField name="Suma de Subtotal ARS" fld="12" baseField="0" baseItem="0" numFmtId="165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9716FD-8DC1-458F-916A-EF302AA344E6}" name="TablaDinámica1" cacheId="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B123" firstHeaderRow="1" firstDataRow="1" firstDataCol="1" rowPageCount="2" colPageCount="1"/>
  <pivotFields count="17">
    <pivotField axis="axisPage" showAll="0">
      <items count="45">
        <item x="0"/>
        <item x="1"/>
        <item x="2"/>
        <item x="3"/>
        <item x="4"/>
        <item x="6"/>
        <item x="7"/>
        <item x="21"/>
        <item x="22"/>
        <item x="23"/>
        <item x="24"/>
        <item x="25"/>
        <item x="26"/>
        <item x="27"/>
        <item x="28"/>
        <item x="29"/>
        <item x="30"/>
        <item x="31"/>
        <item x="43"/>
        <item x="9"/>
        <item x="10"/>
        <item x="8"/>
        <item x="5"/>
        <item x="11"/>
        <item x="12"/>
        <item x="13"/>
        <item x="14"/>
        <item x="15"/>
        <item x="33"/>
        <item x="35"/>
        <item x="36"/>
        <item x="16"/>
        <item x="17"/>
        <item x="18"/>
        <item x="19"/>
        <item x="20"/>
        <item x="32"/>
        <item x="34"/>
        <item x="37"/>
        <item x="38"/>
        <item x="39"/>
        <item x="40"/>
        <item x="41"/>
        <item x="42"/>
        <item t="default"/>
      </items>
    </pivotField>
    <pivotField axis="axisPage" showAll="0">
      <items count="6">
        <item x="3"/>
        <item x="0"/>
        <item x="1"/>
        <item x="2"/>
        <item x="4"/>
        <item t="default"/>
      </items>
    </pivotField>
    <pivotField axis="axisRow" showAll="0" sortType="descending">
      <items count="133">
        <item x="6"/>
        <item x="96"/>
        <item x="12"/>
        <item x="13"/>
        <item x="14"/>
        <item x="93"/>
        <item x="94"/>
        <item x="95"/>
        <item x="88"/>
        <item x="82"/>
        <item x="83"/>
        <item x="81"/>
        <item x="98"/>
        <item x="99"/>
        <item x="104"/>
        <item x="11"/>
        <item x="10"/>
        <item x="9"/>
        <item x="97"/>
        <item x="89"/>
        <item x="79"/>
        <item x="80"/>
        <item x="34"/>
        <item m="1" x="126"/>
        <item m="1" x="127"/>
        <item m="1" x="128"/>
        <item m="1" x="129"/>
        <item m="1" x="130"/>
        <item m="1" x="131"/>
        <item m="1" x="118"/>
        <item m="1" x="120"/>
        <item m="1" x="121"/>
        <item m="1" x="122"/>
        <item x="1"/>
        <item x="55"/>
        <item x="0"/>
        <item x="44"/>
        <item m="1" x="123"/>
        <item m="1" x="124"/>
        <item m="1" x="119"/>
        <item x="2"/>
        <item x="15"/>
        <item x="16"/>
        <item x="5"/>
        <item x="39"/>
        <item x="92"/>
        <item x="3"/>
        <item x="4"/>
        <item x="17"/>
        <item x="18"/>
        <item x="19"/>
        <item x="46"/>
        <item x="59"/>
        <item x="47"/>
        <item m="1" x="125"/>
        <item x="84"/>
        <item x="117"/>
        <item x="103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5"/>
        <item x="36"/>
        <item x="37"/>
        <item x="38"/>
        <item x="40"/>
        <item x="32"/>
        <item x="33"/>
        <item x="43"/>
        <item x="45"/>
        <item x="48"/>
        <item x="49"/>
        <item x="50"/>
        <item x="51"/>
        <item x="52"/>
        <item x="53"/>
        <item x="57"/>
        <item x="58"/>
        <item x="75"/>
        <item x="60"/>
        <item x="61"/>
        <item x="107"/>
        <item x="7"/>
        <item x="8"/>
        <item x="41"/>
        <item x="42"/>
        <item x="54"/>
        <item x="56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6"/>
        <item x="77"/>
        <item x="78"/>
        <item x="85"/>
        <item x="86"/>
        <item x="87"/>
        <item x="90"/>
        <item x="91"/>
        <item x="100"/>
        <item x="101"/>
        <item x="102"/>
        <item x="105"/>
        <item x="106"/>
        <item x="108"/>
        <item x="109"/>
        <item x="110"/>
        <item x="111"/>
        <item x="112"/>
        <item x="113"/>
        <item x="114"/>
        <item x="115"/>
        <item x="1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119">
    <i>
      <x v="86"/>
    </i>
    <i>
      <x v="46"/>
    </i>
    <i>
      <x v="52"/>
    </i>
    <i>
      <x v="35"/>
    </i>
    <i>
      <x v="42"/>
    </i>
    <i>
      <x v="51"/>
    </i>
    <i>
      <x v="53"/>
    </i>
    <i>
      <x v="45"/>
    </i>
    <i>
      <x v="83"/>
    </i>
    <i>
      <x v="36"/>
    </i>
    <i>
      <x v="81"/>
    </i>
    <i>
      <x v="82"/>
    </i>
    <i>
      <x v="71"/>
    </i>
    <i>
      <x v="129"/>
    </i>
    <i>
      <x v="43"/>
    </i>
    <i>
      <x v="76"/>
    </i>
    <i>
      <x v="96"/>
    </i>
    <i>
      <x v="47"/>
    </i>
    <i>
      <x v="85"/>
    </i>
    <i>
      <x v="11"/>
    </i>
    <i>
      <x v="77"/>
    </i>
    <i>
      <x v="44"/>
    </i>
    <i>
      <x v="78"/>
    </i>
    <i>
      <x v="100"/>
    </i>
    <i>
      <x v="121"/>
    </i>
    <i>
      <x v="55"/>
    </i>
    <i>
      <x v="75"/>
    </i>
    <i>
      <x v="41"/>
    </i>
    <i>
      <x v="15"/>
    </i>
    <i>
      <x/>
    </i>
    <i>
      <x v="13"/>
    </i>
    <i>
      <x v="2"/>
    </i>
    <i>
      <x v="74"/>
    </i>
    <i>
      <x v="6"/>
    </i>
    <i>
      <x v="93"/>
    </i>
    <i>
      <x v="48"/>
    </i>
    <i>
      <x v="4"/>
    </i>
    <i>
      <x v="12"/>
    </i>
    <i>
      <x v="3"/>
    </i>
    <i>
      <x v="57"/>
    </i>
    <i>
      <x v="7"/>
    </i>
    <i>
      <x v="104"/>
    </i>
    <i>
      <x v="70"/>
    </i>
    <i>
      <x v="92"/>
    </i>
    <i>
      <x v="34"/>
    </i>
    <i>
      <x v="22"/>
    </i>
    <i>
      <x v="106"/>
    </i>
    <i>
      <x v="102"/>
    </i>
    <i>
      <x v="80"/>
    </i>
    <i>
      <x v="5"/>
    </i>
    <i>
      <x v="94"/>
    </i>
    <i>
      <x v="112"/>
    </i>
    <i>
      <x v="89"/>
    </i>
    <i>
      <x v="87"/>
    </i>
    <i>
      <x v="49"/>
    </i>
    <i>
      <x v="33"/>
    </i>
    <i>
      <x v="91"/>
    </i>
    <i>
      <x v="101"/>
    </i>
    <i>
      <x v="116"/>
    </i>
    <i>
      <x v="88"/>
    </i>
    <i>
      <x v="68"/>
    </i>
    <i>
      <x v="50"/>
    </i>
    <i>
      <x v="40"/>
    </i>
    <i>
      <x v="127"/>
    </i>
    <i>
      <x v="19"/>
    </i>
    <i>
      <x v="16"/>
    </i>
    <i>
      <x v="8"/>
    </i>
    <i>
      <x v="97"/>
    </i>
    <i>
      <x v="9"/>
    </i>
    <i>
      <x v="105"/>
    </i>
    <i>
      <x v="17"/>
    </i>
    <i>
      <x v="60"/>
    </i>
    <i>
      <x v="58"/>
    </i>
    <i>
      <x v="119"/>
    </i>
    <i>
      <x v="110"/>
    </i>
    <i>
      <x v="21"/>
    </i>
    <i>
      <x v="90"/>
    </i>
    <i>
      <x v="10"/>
    </i>
    <i>
      <x v="84"/>
    </i>
    <i>
      <x v="65"/>
    </i>
    <i>
      <x v="109"/>
    </i>
    <i>
      <x v="95"/>
    </i>
    <i>
      <x v="120"/>
    </i>
    <i>
      <x v="14"/>
    </i>
    <i>
      <x v="111"/>
    </i>
    <i>
      <x v="122"/>
    </i>
    <i>
      <x v="128"/>
    </i>
    <i>
      <x v="62"/>
    </i>
    <i>
      <x v="64"/>
    </i>
    <i>
      <x v="131"/>
    </i>
    <i>
      <x v="117"/>
    </i>
    <i>
      <x v="79"/>
    </i>
    <i>
      <x v="99"/>
    </i>
    <i>
      <x v="118"/>
    </i>
    <i>
      <x v="1"/>
    </i>
    <i>
      <x v="114"/>
    </i>
    <i>
      <x v="113"/>
    </i>
    <i>
      <x v="59"/>
    </i>
    <i>
      <x v="108"/>
    </i>
    <i>
      <x v="107"/>
    </i>
    <i>
      <x v="18"/>
    </i>
    <i>
      <x v="20"/>
    </i>
    <i>
      <x v="73"/>
    </i>
    <i>
      <x v="98"/>
    </i>
    <i>
      <x v="125"/>
    </i>
    <i>
      <x v="103"/>
    </i>
    <i>
      <x v="63"/>
    </i>
    <i>
      <x v="67"/>
    </i>
    <i>
      <x v="123"/>
    </i>
    <i>
      <x v="72"/>
    </i>
    <i>
      <x v="130"/>
    </i>
    <i>
      <x v="126"/>
    </i>
    <i>
      <x v="61"/>
    </i>
    <i>
      <x v="66"/>
    </i>
    <i>
      <x v="69"/>
    </i>
    <i>
      <x v="124"/>
    </i>
    <i>
      <x v="115"/>
    </i>
    <i>
      <x v="56"/>
    </i>
    <i t="grand">
      <x/>
    </i>
  </rowItems>
  <colItems count="1">
    <i/>
  </colItems>
  <pageFields count="2">
    <pageField fld="1" hier="-1"/>
    <pageField fld="0" hier="-1"/>
  </pageFields>
  <dataFields count="1">
    <dataField name="Suma de Subtotal ARS" fld="12" baseField="0" baseItem="0" numFmtId="165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2BC7D-B159-45D7-83B0-4E86016B2145}" name="TablaDinámica3" cacheId="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4:J19" firstHeaderRow="1" firstDataRow="1" firstDataCol="1" rowPageCount="2" colPageCount="1"/>
  <pivotFields count="17">
    <pivotField axis="axisPage" numFmtId="14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21"/>
        <item x="22"/>
        <item x="23"/>
        <item x="24"/>
        <item x="25"/>
        <item x="26"/>
        <item x="27"/>
        <item x="28"/>
        <item x="29"/>
        <item x="30"/>
        <item x="31"/>
        <item x="33"/>
        <item x="35"/>
        <item x="36"/>
        <item x="37"/>
        <item x="38"/>
        <item x="16"/>
        <item x="17"/>
        <item x="18"/>
        <item x="19"/>
        <item x="20"/>
        <item x="32"/>
        <item x="34"/>
        <item x="39"/>
        <item x="40"/>
        <item x="41"/>
        <item x="43"/>
        <item x="42"/>
        <item t="default"/>
      </items>
    </pivotField>
    <pivotField axis="axisPage" showAll="0">
      <items count="6">
        <item x="0"/>
        <item x="1"/>
        <item x="2"/>
        <item x="3"/>
        <item x="4"/>
        <item t="default"/>
      </items>
    </pivotField>
    <pivotField showAll="0"/>
    <pivotField axis="axisRow" showAll="0" sortType="descending">
      <items count="15">
        <item x="0"/>
        <item x="5"/>
        <item x="7"/>
        <item x="4"/>
        <item x="11"/>
        <item x="8"/>
        <item x="2"/>
        <item x="6"/>
        <item x="3"/>
        <item x="1"/>
        <item x="12"/>
        <item x="10"/>
        <item x="1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4" showAll="0"/>
    <pivotField showAll="0"/>
    <pivotField numFmtId="44" showAll="0"/>
    <pivotField numFmtId="164" showAll="0"/>
    <pivotField numFmtId="9" showAll="0"/>
    <pivotField showAll="0"/>
    <pivotField showAll="0"/>
    <pivotField dataField="1" numFmtId="44" showAll="0"/>
    <pivotField numFmtId="44" showAll="0"/>
    <pivotField numFmtId="44" showAll="0"/>
    <pivotField showAll="0"/>
    <pivotField showAll="0"/>
  </pivotFields>
  <rowFields count="1">
    <field x="3"/>
  </rowFields>
  <rowItems count="15">
    <i>
      <x v="6"/>
    </i>
    <i>
      <x v="5"/>
    </i>
    <i>
      <x/>
    </i>
    <i>
      <x v="8"/>
    </i>
    <i>
      <x v="7"/>
    </i>
    <i>
      <x v="1"/>
    </i>
    <i>
      <x v="3"/>
    </i>
    <i>
      <x v="2"/>
    </i>
    <i>
      <x v="9"/>
    </i>
    <i>
      <x v="4"/>
    </i>
    <i>
      <x v="11"/>
    </i>
    <i>
      <x v="13"/>
    </i>
    <i>
      <x v="10"/>
    </i>
    <i>
      <x v="12"/>
    </i>
    <i t="grand">
      <x/>
    </i>
  </rowItems>
  <colItems count="1">
    <i/>
  </colItems>
  <pageFields count="2">
    <pageField fld="1" hier="-1"/>
    <pageField fld="0" hier="-1"/>
  </pageFields>
  <dataFields count="1">
    <dataField name="Suma de Subtotal ARS" fld="12" baseField="0" baseItem="0" numFmtId="165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A0E3A89-577E-41E9-8D34-6FE48BA1AB76}" autoFormatId="16" applyNumberFormats="0" applyBorderFormats="0" applyFontFormats="0" applyPatternFormats="0" applyAlignmentFormats="0" applyWidthHeightFormats="0">
  <queryTableRefresh nextId="4">
    <queryTableFields count="3">
      <queryTableField id="1" name="Fecha cotizacion" tableColumnId="1"/>
      <queryTableField id="2" name="Compra" tableColumnId="2"/>
      <queryTableField id="3" name="Venta" tableColumnId="3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64451C-E151-40C8-8323-150CDBA21896}" name="Tabla1" displayName="Tabla1" ref="B1:E239" totalsRowShown="0" headerRowDxfId="47">
  <autoFilter ref="B1:E239" xr:uid="{0964451C-E151-40C8-8323-150CDBA21896}"/>
  <tableColumns count="4">
    <tableColumn id="1" xr3:uid="{AB5D9A33-E191-41C6-93B0-54C2C44F2DFF}" name="Rubro"/>
    <tableColumn id="4" xr3:uid="{12812716-6B50-479D-925E-9721C7EB89A6}" name="Artículos"/>
    <tableColumn id="2" xr3:uid="{F199A431-8290-4D4B-8456-263B5B9B96CC}" name="Proveedor" dataDxfId="46"/>
    <tableColumn id="3" xr3:uid="{333EED4C-0CF3-4804-BA66-D80DFBEE5BA9}" name="Habitual" dataDxfId="45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B462DC-E411-49FF-AB3A-EC7276A9A36C}" name="Tabla5" displayName="Tabla5" ref="G1:H10" totalsRowShown="0" dataDxfId="44">
  <autoFilter ref="G1:H10" xr:uid="{F1B462DC-E411-49FF-AB3A-EC7276A9A36C}"/>
  <tableColumns count="2">
    <tableColumn id="1" xr3:uid="{39DE0900-4579-4ADC-BB27-EB6F94B5F0E7}" name="Moneda" dataDxfId="43"/>
    <tableColumn id="2" xr3:uid="{EEB7978B-7B61-4FEF-A09A-06FF924B019B}" name="Unidad" dataDxfId="42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DADACC-EE36-46AB-BBB9-1F1846583ADA}" name="Tabla2" displayName="Tabla2" ref="A1:Q326" totalsRowShown="0" headerRowDxfId="41" dataDxfId="40">
  <autoFilter ref="A1:Q326" xr:uid="{B4DADACC-EE36-46AB-BBB9-1F1846583ADA}"/>
  <tableColumns count="17">
    <tableColumn id="1" xr3:uid="{7A15A5A7-D2AA-49A9-80A7-65F387CF9ABC}" name="Fecha" dataDxfId="39"/>
    <tableColumn id="15" xr3:uid="{6DCFE7FD-23A6-47CE-9A9B-5AE479CA1E62}" name="Mes" dataDxfId="38">
      <calculatedColumnFormula>MONTH(Tabla2[[#This Row],[Fecha]])</calculatedColumnFormula>
    </tableColumn>
    <tableColumn id="2" xr3:uid="{C57A2BA7-2A0A-4569-B9ED-8CA76FF96149}" name="Artículo" dataDxfId="37"/>
    <tableColumn id="17" xr3:uid="{8CDA0B0D-4A08-48D0-B2F9-022FEDBCEC95}" name="Rubro" dataDxfId="36">
      <calculatedColumnFormula>IFERROR(_xlfn.XLOOKUP(Tabla2[[#This Row],[Artículo]],Tabla1[Artículos],Tabla1[Rubro]),"")</calculatedColumnFormula>
    </tableColumn>
    <tableColumn id="3" xr3:uid="{9F0978FD-74D0-4A5B-9BED-CFCA3CC846EB}" name="Proveedor" dataDxfId="35"/>
    <tableColumn id="4" xr3:uid="{EF2B3E57-CB31-429B-9EBF-A1AD200EB7BC}" name="Cantidad" dataDxfId="34"/>
    <tableColumn id="5" xr3:uid="{457A0BA6-77E5-4FDD-904E-FB58D4EE7286}" name="Unidad" dataDxfId="33"/>
    <tableColumn id="6" xr3:uid="{02A9F56C-EAD9-4E00-85A2-F7FCA2ABC71D}" name="Precio Unitario ARS" dataDxfId="32" dataCellStyle="Moneda"/>
    <tableColumn id="7" xr3:uid="{6B7C9435-3080-4AEB-B7DC-66DD6370DEDC}" name="Precio Unitario USD" dataDxfId="31">
      <calculatedColumnFormula>Tabla2[[#This Row],[Precio Unitario ARS]]/Tabla2[[#This Row],[TC BNA]]</calculatedColumnFormula>
    </tableColumn>
    <tableColumn id="8" xr3:uid="{DD356C4C-3435-4AD0-B5AD-0113E5099F4C}" name="DTO" dataDxfId="30" dataCellStyle="Porcentaje"/>
    <tableColumn id="9" xr3:uid="{9EDFFF0E-46FB-4CCA-AB61-852895B56B0A}" name="Moneda" dataDxfId="29"/>
    <tableColumn id="10" xr3:uid="{7DFD4C18-14FF-4BFC-8106-0EE3CCDC7B77}" name="IVA" dataDxfId="28"/>
    <tableColumn id="11" xr3:uid="{0308EDE8-0F8E-47FE-B522-E9145694A2C7}" name="Subtotal ARS" dataDxfId="27" dataCellStyle="Porcentaje">
      <calculatedColumnFormula>(Tabla2[[#This Row],[Precio Unitario ARS]]-(Tabla2[[#This Row],[Precio Unitario ARS]]*Tabla2[[#This Row],[DTO]]))*Tabla2[[#This Row],[Cantidad]]</calculatedColumnFormula>
    </tableColumn>
    <tableColumn id="14" xr3:uid="{98D0D184-7451-4BC5-AC4A-CAF9BDA78663}" name="TOTAL ARS" dataDxfId="26" dataCellStyle="Moneda">
      <calculatedColumnFormula>Tabla2[[#This Row],[Subtotal ARS]]+(Tabla2[[#This Row],[Subtotal ARS]]*Tabla2[[#This Row],[IVA]])</calculatedColumnFormula>
    </tableColumn>
    <tableColumn id="16" xr3:uid="{C660C1A5-69F8-4B79-ACEE-3FB4503BD55D}" name="TOTAL USD" dataDxfId="25" dataCellStyle="Moneda">
      <calculatedColumnFormula>Tabla2[[#This Row],[TOTAL ARS]]/Tabla2[[#This Row],[TC BNA]]</calculatedColumnFormula>
    </tableColumn>
    <tableColumn id="12" xr3:uid="{AA5299E2-53E2-45CC-AD86-43EC554F6520}" name="TC BNA" dataDxfId="24">
      <calculatedColumnFormula>_xlfn.XLOOKUP(A2,'TC_BNA xlsx'!A:A,'TC_BNA xlsx'!C:C,"No encontrado")</calculatedColumnFormula>
    </tableColumn>
    <tableColumn id="13" xr3:uid="{C22568F5-D434-4EA1-87C7-93BEE23531AF}" name="Observaciones" dataDxfId="23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02E5EF-BF68-45E7-8814-2F328EDA5FC7}" name="Tabla4" displayName="Tabla4" ref="A1:N161" totalsRowShown="0" headerRowDxfId="22" dataDxfId="21">
  <autoFilter ref="A1:N161" xr:uid="{EB02E5EF-BF68-45E7-8814-2F328EDA5FC7}"/>
  <tableColumns count="14">
    <tableColumn id="1" xr3:uid="{99E8F26C-480A-46AD-AA3E-DE0A36BBFD2B}" name="Fecha" dataDxfId="20"/>
    <tableColumn id="2" xr3:uid="{B80A1040-3968-4A09-AD89-03C1E318785D}" name="Artículo" dataDxfId="19"/>
    <tableColumn id="4" xr3:uid="{8EC61028-CDFD-4565-BB23-57E0FAA9564B}" name="Cantidad" dataDxfId="18"/>
    <tableColumn id="5" xr3:uid="{81C4EB47-A19C-44EF-8147-64E9B3BE758E}" name="Unidad" dataDxfId="17"/>
    <tableColumn id="6" xr3:uid="{96AA24BE-650E-4ACF-B8FC-91A079D5DD65}" name="Precio Cotizado" dataDxfId="16" dataCellStyle="Moneda"/>
    <tableColumn id="7" xr3:uid="{7A1A616C-2166-4B08-957E-70E62E7450AC}" name="Últ. Precio" dataDxfId="15" dataCellStyle="Moneda">
      <calculatedColumnFormula>IF(Tabla4[[#This Row],[Artículo]]="","",IFERROR(_xlfn.XLOOKUP(Tabla4[[#This Row],[Artículo]],Tabla2[Artículo],Tabla2[Precio Unitario ARS],"",0,-1),""))</calculatedColumnFormula>
    </tableColumn>
    <tableColumn id="16" xr3:uid="{33BEBF2F-9DFA-4FC5-B4B3-3928CDADA814}" name="Último Proveedor" dataDxfId="14" dataCellStyle="Moneda">
      <calculatedColumnFormula>IF(Tabla4[[#This Row],[Artículo]]="","",IFERROR(_xlfn.XLOOKUP(Tabla4[[#This Row],[Artículo]],Tabla2[Artículo],Tabla2[Proveedor],"",0,-1),""))</calculatedColumnFormula>
    </tableColumn>
    <tableColumn id="8" xr3:uid="{C567B328-2953-4132-A4B1-AB32D9721182}" name="Mejor Precio" dataDxfId="13" dataCellStyle="Moneda">
      <calculatedColumnFormula array="1">IF(Tabla4[[#This Row],[Artículo]]="","",IFERROR(MIN(_xlfn._xlws.FILTER(Tabla2[Precio Unitario ARS],Tabla2[Artículo]=Tabla4[[#This Row],[Artículo]])),""))</calculatedColumnFormula>
    </tableColumn>
    <tableColumn id="3" xr3:uid="{10D6DFB8-6041-4289-B90F-C165F8CE3369}" name="Mejor Proveedor" dataDxfId="12" dataCellStyle="Moneda">
      <calculatedColumnFormula array="1">IF(Tabla4[[#This Row],[Artículo]]="","",IFERROR(_xlfn.XLOOKUP(1,(Tabla2[Artículo]=Tabla4[[#This Row],[Artículo]])*(Tabla2[Precio Unitario ARS]=Tabla4[[#This Row],[Mejor Precio]]),Tabla2[Proveedor]),""))</calculatedColumnFormula>
    </tableColumn>
    <tableColumn id="9" xr3:uid="{30E8EEC0-9D7A-4FEF-8CFA-AE5DDCA1F92A}" name="Variación vs _x000a_Últ. Precio" dataDxfId="11">
      <calculatedColumnFormula>IF(Tabla4[[#This Row],[Artículo]]="","",IFERROR((Tabla4[[#This Row],[Precio Cotizado]]-Tabla4[[#This Row],[Últ. Precio]])/Tabla4[[#This Row],[Últ. Precio]],""))</calculatedColumnFormula>
    </tableColumn>
    <tableColumn id="15" xr3:uid="{C5762A97-4628-4EFA-8AD3-4B30D21CE76D}" name="Dif por Unidad" dataDxfId="10" dataCellStyle="Moneda">
      <calculatedColumnFormula>IF(Tabla4[[#This Row],[Artículo]]="","",IFERROR(Tabla4[[#This Row],[Precio Cotizado]]-Tabla4[[#This Row],[Mejor Precio]],""))</calculatedColumnFormula>
    </tableColumn>
    <tableColumn id="12" xr3:uid="{FD53D5FC-175D-4B44-B93B-DBC9FA0FC2B1}" name="Sobrecosto Total" dataDxfId="9">
      <calculatedColumnFormula>IF(Tabla4[[#This Row],[Artículo]]="","",IFERROR(Tabla4[[#This Row],[Dif por Unidad]]*Tabla4[[#This Row],[Cantidad]],""))</calculatedColumnFormula>
    </tableColumn>
    <tableColumn id="13" xr3:uid="{DDF2B58C-AF7D-425F-993A-7FAAB2A00AFD}" name="Estado" dataDxfId="8">
      <calculatedColumnFormula>IF(B2="","",IF(J2&lt;0,"Más barato",IF(J2&lt;=5%,"Dentro del rango",IF(J2&lt;=15%,"Revisar","Precio alto"))))</calculatedColumnFormula>
    </tableColumn>
    <tableColumn id="14" xr3:uid="{08B180FC-C48D-4A96-90D8-37F6EB8128E0}" name="Observaciones" dataDxfId="7">
      <calculatedColumnFormula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3EE778-0A37-4C5B-A079-40DCB5E66B91}" name="TC_BNA_xlsx" displayName="TC_BNA_xlsx" ref="A1:C64" tableType="queryTable" totalsRowShown="0">
  <autoFilter ref="A1:C64" xr:uid="{A23EE778-0A37-4C5B-A079-40DCB5E66B91}"/>
  <tableColumns count="3">
    <tableColumn id="1" xr3:uid="{E515A79D-B63A-47AB-8A48-12E5441E669E}" uniqueName="1" name="Fecha cotizacion" queryTableFieldId="1" dataDxfId="6"/>
    <tableColumn id="2" xr3:uid="{10A86502-EFF4-447F-8007-220F70C7AED7}" uniqueName="2" name="Compra" queryTableFieldId="2" dataDxfId="5"/>
    <tableColumn id="3" xr3:uid="{01C2D6F3-5BEC-459E-BFEA-4B669584CCC7}" uniqueName="3" name="Venta" queryTableFieldId="3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3DF13-FAB4-46A9-AFF8-785A81099BFD}">
  <dimension ref="B1:H235"/>
  <sheetViews>
    <sheetView topLeftCell="A221" workbookViewId="0">
      <selection activeCell="C239" sqref="C239"/>
    </sheetView>
  </sheetViews>
  <sheetFormatPr baseColWidth="10" defaultRowHeight="15" x14ac:dyDescent="0.25"/>
  <cols>
    <col min="2" max="2" width="14.7109375" customWidth="1"/>
    <col min="3" max="3" width="38.85546875" bestFit="1" customWidth="1"/>
    <col min="4" max="4" width="21" style="3" bestFit="1" customWidth="1"/>
    <col min="5" max="5" width="16.42578125" style="3" bestFit="1" customWidth="1"/>
    <col min="7" max="7" width="12.28515625" customWidth="1"/>
  </cols>
  <sheetData>
    <row r="1" spans="2:8" x14ac:dyDescent="0.25">
      <c r="B1" s="4" t="s">
        <v>254</v>
      </c>
      <c r="C1" s="4" t="s">
        <v>109</v>
      </c>
      <c r="D1" s="5" t="s">
        <v>2</v>
      </c>
      <c r="E1" s="5" t="s">
        <v>132</v>
      </c>
      <c r="G1" t="s">
        <v>8</v>
      </c>
      <c r="H1" s="3" t="s">
        <v>4</v>
      </c>
    </row>
    <row r="2" spans="2:8" x14ac:dyDescent="0.25">
      <c r="B2" t="s">
        <v>255</v>
      </c>
      <c r="C2" t="s">
        <v>26</v>
      </c>
      <c r="D2" s="3" t="s">
        <v>110</v>
      </c>
      <c r="E2" s="3" t="s">
        <v>133</v>
      </c>
      <c r="G2" t="s">
        <v>19</v>
      </c>
      <c r="H2" s="3" t="s">
        <v>150</v>
      </c>
    </row>
    <row r="3" spans="2:8" x14ac:dyDescent="0.25">
      <c r="B3" t="s">
        <v>255</v>
      </c>
      <c r="C3" t="s">
        <v>27</v>
      </c>
      <c r="D3" s="3" t="s">
        <v>110</v>
      </c>
      <c r="E3" s="3" t="s">
        <v>133</v>
      </c>
      <c r="G3" t="s">
        <v>139</v>
      </c>
      <c r="H3" s="3" t="s">
        <v>25</v>
      </c>
    </row>
    <row r="4" spans="2:8" x14ac:dyDescent="0.25">
      <c r="B4" t="s">
        <v>255</v>
      </c>
      <c r="C4" t="s">
        <v>28</v>
      </c>
      <c r="D4" s="3" t="s">
        <v>110</v>
      </c>
      <c r="E4" s="3" t="s">
        <v>133</v>
      </c>
      <c r="G4" s="3"/>
      <c r="H4" s="3" t="s">
        <v>23</v>
      </c>
    </row>
    <row r="5" spans="2:8" x14ac:dyDescent="0.25">
      <c r="B5" t="s">
        <v>255</v>
      </c>
      <c r="C5" t="s">
        <v>29</v>
      </c>
      <c r="D5" s="3" t="s">
        <v>110</v>
      </c>
      <c r="E5" s="3" t="s">
        <v>133</v>
      </c>
      <c r="G5" s="3"/>
      <c r="H5" s="3" t="s">
        <v>17</v>
      </c>
    </row>
    <row r="6" spans="2:8" x14ac:dyDescent="0.25">
      <c r="B6" t="s">
        <v>255</v>
      </c>
      <c r="C6" t="s">
        <v>30</v>
      </c>
      <c r="D6" s="3" t="s">
        <v>110</v>
      </c>
      <c r="E6" s="3" t="s">
        <v>133</v>
      </c>
      <c r="G6" s="3"/>
      <c r="H6" s="3" t="s">
        <v>164</v>
      </c>
    </row>
    <row r="7" spans="2:8" x14ac:dyDescent="0.25">
      <c r="B7" t="s">
        <v>255</v>
      </c>
      <c r="C7" t="s">
        <v>31</v>
      </c>
      <c r="D7" s="3" t="s">
        <v>110</v>
      </c>
      <c r="E7" s="3" t="s">
        <v>133</v>
      </c>
      <c r="G7" s="3"/>
      <c r="H7" s="3" t="s">
        <v>156</v>
      </c>
    </row>
    <row r="8" spans="2:8" x14ac:dyDescent="0.25">
      <c r="B8" t="s">
        <v>255</v>
      </c>
      <c r="C8" t="s">
        <v>32</v>
      </c>
      <c r="D8" s="3" t="s">
        <v>110</v>
      </c>
      <c r="E8" s="3" t="s">
        <v>133</v>
      </c>
      <c r="G8" s="3"/>
      <c r="H8" s="3" t="s">
        <v>215</v>
      </c>
    </row>
    <row r="9" spans="2:8" x14ac:dyDescent="0.25">
      <c r="B9" t="s">
        <v>255</v>
      </c>
      <c r="C9" t="s">
        <v>33</v>
      </c>
      <c r="D9" s="3" t="s">
        <v>110</v>
      </c>
      <c r="E9" s="3" t="s">
        <v>133</v>
      </c>
      <c r="G9" s="3"/>
      <c r="H9" s="3" t="s">
        <v>227</v>
      </c>
    </row>
    <row r="10" spans="2:8" x14ac:dyDescent="0.25">
      <c r="B10" t="s">
        <v>255</v>
      </c>
      <c r="C10" t="s">
        <v>34</v>
      </c>
      <c r="D10" s="3" t="s">
        <v>110</v>
      </c>
      <c r="E10" s="3" t="s">
        <v>133</v>
      </c>
      <c r="G10" s="3"/>
      <c r="H10" s="44" t="s">
        <v>326</v>
      </c>
    </row>
    <row r="11" spans="2:8" x14ac:dyDescent="0.25">
      <c r="B11" t="s">
        <v>255</v>
      </c>
      <c r="C11" t="s">
        <v>35</v>
      </c>
      <c r="D11" s="3" t="s">
        <v>110</v>
      </c>
      <c r="E11" s="3" t="s">
        <v>133</v>
      </c>
    </row>
    <row r="12" spans="2:8" x14ac:dyDescent="0.25">
      <c r="B12" t="s">
        <v>255</v>
      </c>
      <c r="C12" t="s">
        <v>163</v>
      </c>
      <c r="D12" s="3" t="s">
        <v>110</v>
      </c>
      <c r="E12" s="3" t="s">
        <v>133</v>
      </c>
    </row>
    <row r="13" spans="2:8" x14ac:dyDescent="0.25">
      <c r="B13" t="s">
        <v>258</v>
      </c>
      <c r="C13" t="s">
        <v>36</v>
      </c>
      <c r="D13" s="3" t="s">
        <v>111</v>
      </c>
      <c r="E13" s="3" t="s">
        <v>133</v>
      </c>
    </row>
    <row r="14" spans="2:8" x14ac:dyDescent="0.25">
      <c r="B14" t="s">
        <v>256</v>
      </c>
      <c r="C14" t="s">
        <v>37</v>
      </c>
      <c r="D14" s="3" t="s">
        <v>112</v>
      </c>
      <c r="E14" s="3" t="s">
        <v>133</v>
      </c>
    </row>
    <row r="15" spans="2:8" x14ac:dyDescent="0.25">
      <c r="B15" t="s">
        <v>256</v>
      </c>
      <c r="C15" t="s">
        <v>38</v>
      </c>
      <c r="D15" s="3" t="s">
        <v>112</v>
      </c>
      <c r="E15" s="3" t="s">
        <v>133</v>
      </c>
    </row>
    <row r="16" spans="2:8" x14ac:dyDescent="0.25">
      <c r="B16" t="s">
        <v>256</v>
      </c>
      <c r="C16" t="s">
        <v>39</v>
      </c>
      <c r="D16" s="3" t="s">
        <v>112</v>
      </c>
      <c r="E16" s="3" t="s">
        <v>133</v>
      </c>
    </row>
    <row r="17" spans="2:5" x14ac:dyDescent="0.25">
      <c r="B17" t="s">
        <v>256</v>
      </c>
      <c r="C17" t="s">
        <v>40</v>
      </c>
      <c r="D17" s="3" t="s">
        <v>112</v>
      </c>
      <c r="E17" s="3" t="s">
        <v>133</v>
      </c>
    </row>
    <row r="18" spans="2:5" x14ac:dyDescent="0.25">
      <c r="B18" t="s">
        <v>256</v>
      </c>
      <c r="C18" t="s">
        <v>228</v>
      </c>
      <c r="D18" s="3" t="s">
        <v>112</v>
      </c>
      <c r="E18" s="3" t="s">
        <v>133</v>
      </c>
    </row>
    <row r="19" spans="2:5" x14ac:dyDescent="0.25">
      <c r="B19" t="s">
        <v>113</v>
      </c>
      <c r="C19" t="s">
        <v>41</v>
      </c>
      <c r="D19" s="3" t="s">
        <v>113</v>
      </c>
      <c r="E19" s="3" t="s">
        <v>133</v>
      </c>
    </row>
    <row r="20" spans="2:5" x14ac:dyDescent="0.25">
      <c r="B20" t="s">
        <v>113</v>
      </c>
      <c r="C20" t="s">
        <v>42</v>
      </c>
      <c r="D20" s="3" t="s">
        <v>113</v>
      </c>
      <c r="E20" s="3" t="s">
        <v>133</v>
      </c>
    </row>
    <row r="21" spans="2:5" x14ac:dyDescent="0.25">
      <c r="B21" t="s">
        <v>113</v>
      </c>
      <c r="C21" t="s">
        <v>43</v>
      </c>
      <c r="D21" s="3" t="s">
        <v>113</v>
      </c>
      <c r="E21" s="3" t="s">
        <v>133</v>
      </c>
    </row>
    <row r="22" spans="2:5" x14ac:dyDescent="0.25">
      <c r="B22" t="s">
        <v>113</v>
      </c>
      <c r="C22" t="s">
        <v>44</v>
      </c>
      <c r="D22" s="3" t="s">
        <v>113</v>
      </c>
      <c r="E22" s="3" t="s">
        <v>133</v>
      </c>
    </row>
    <row r="23" spans="2:5" x14ac:dyDescent="0.25">
      <c r="B23" t="s">
        <v>113</v>
      </c>
      <c r="C23" t="s">
        <v>45</v>
      </c>
      <c r="D23" s="3" t="s">
        <v>113</v>
      </c>
      <c r="E23" s="3" t="s">
        <v>133</v>
      </c>
    </row>
    <row r="24" spans="2:5" x14ac:dyDescent="0.25">
      <c r="B24" t="s">
        <v>113</v>
      </c>
      <c r="C24" t="s">
        <v>46</v>
      </c>
      <c r="D24" s="3" t="s">
        <v>113</v>
      </c>
      <c r="E24" s="3" t="s">
        <v>133</v>
      </c>
    </row>
    <row r="25" spans="2:5" x14ac:dyDescent="0.25">
      <c r="B25" t="s">
        <v>113</v>
      </c>
      <c r="C25" t="s">
        <v>47</v>
      </c>
      <c r="D25" s="3" t="s">
        <v>113</v>
      </c>
      <c r="E25" s="3" t="s">
        <v>133</v>
      </c>
    </row>
    <row r="26" spans="2:5" x14ac:dyDescent="0.25">
      <c r="B26" t="s">
        <v>113</v>
      </c>
      <c r="C26" t="s">
        <v>48</v>
      </c>
      <c r="D26" s="3" t="s">
        <v>113</v>
      </c>
      <c r="E26" s="3" t="s">
        <v>133</v>
      </c>
    </row>
    <row r="27" spans="2:5" x14ac:dyDescent="0.25">
      <c r="B27" t="s">
        <v>257</v>
      </c>
      <c r="C27" t="s">
        <v>49</v>
      </c>
      <c r="D27" s="3" t="s">
        <v>114</v>
      </c>
      <c r="E27" s="3" t="s">
        <v>133</v>
      </c>
    </row>
    <row r="28" spans="2:5" x14ac:dyDescent="0.25">
      <c r="B28" t="s">
        <v>257</v>
      </c>
      <c r="C28" t="s">
        <v>50</v>
      </c>
      <c r="D28" s="3" t="s">
        <v>114</v>
      </c>
      <c r="E28" s="3" t="s">
        <v>133</v>
      </c>
    </row>
    <row r="29" spans="2:5" x14ac:dyDescent="0.25">
      <c r="B29" t="s">
        <v>257</v>
      </c>
      <c r="C29" t="s">
        <v>51</v>
      </c>
      <c r="D29" s="3" t="s">
        <v>114</v>
      </c>
      <c r="E29" s="3" t="s">
        <v>133</v>
      </c>
    </row>
    <row r="30" spans="2:5" x14ac:dyDescent="0.25">
      <c r="B30" t="s">
        <v>257</v>
      </c>
      <c r="C30" t="s">
        <v>52</v>
      </c>
      <c r="D30" s="3" t="s">
        <v>114</v>
      </c>
      <c r="E30" s="3" t="s">
        <v>133</v>
      </c>
    </row>
    <row r="31" spans="2:5" x14ac:dyDescent="0.25">
      <c r="B31" t="s">
        <v>255</v>
      </c>
      <c r="C31" t="s">
        <v>53</v>
      </c>
      <c r="D31" s="3" t="s">
        <v>16</v>
      </c>
      <c r="E31" s="3" t="s">
        <v>133</v>
      </c>
    </row>
    <row r="32" spans="2:5" x14ac:dyDescent="0.25">
      <c r="B32" t="s">
        <v>255</v>
      </c>
      <c r="C32" t="s">
        <v>54</v>
      </c>
      <c r="D32" s="3" t="s">
        <v>16</v>
      </c>
      <c r="E32" s="3" t="s">
        <v>133</v>
      </c>
    </row>
    <row r="33" spans="2:5" x14ac:dyDescent="0.25">
      <c r="B33" t="s">
        <v>255</v>
      </c>
      <c r="C33" t="s">
        <v>55</v>
      </c>
      <c r="D33" s="3" t="s">
        <v>16</v>
      </c>
      <c r="E33" s="3" t="s">
        <v>133</v>
      </c>
    </row>
    <row r="34" spans="2:5" x14ac:dyDescent="0.25">
      <c r="B34" t="s">
        <v>257</v>
      </c>
      <c r="C34" t="s">
        <v>56</v>
      </c>
      <c r="D34" s="3" t="s">
        <v>115</v>
      </c>
      <c r="E34" s="3" t="s">
        <v>133</v>
      </c>
    </row>
    <row r="35" spans="2:5" x14ac:dyDescent="0.25">
      <c r="B35" t="s">
        <v>257</v>
      </c>
      <c r="C35" t="s">
        <v>57</v>
      </c>
      <c r="D35" s="3" t="s">
        <v>115</v>
      </c>
      <c r="E35" s="3" t="s">
        <v>133</v>
      </c>
    </row>
    <row r="36" spans="2:5" x14ac:dyDescent="0.25">
      <c r="B36" t="s">
        <v>257</v>
      </c>
      <c r="C36" t="s">
        <v>58</v>
      </c>
      <c r="D36" s="3" t="s">
        <v>115</v>
      </c>
      <c r="E36" s="3" t="s">
        <v>133</v>
      </c>
    </row>
    <row r="37" spans="2:5" x14ac:dyDescent="0.25">
      <c r="B37" t="s">
        <v>259</v>
      </c>
      <c r="C37" t="s">
        <v>59</v>
      </c>
      <c r="D37" s="3" t="s">
        <v>116</v>
      </c>
      <c r="E37" s="3" t="s">
        <v>133</v>
      </c>
    </row>
    <row r="38" spans="2:5" x14ac:dyDescent="0.25">
      <c r="B38" t="s">
        <v>259</v>
      </c>
      <c r="C38" t="s">
        <v>60</v>
      </c>
    </row>
    <row r="39" spans="2:5" x14ac:dyDescent="0.25">
      <c r="B39" t="s">
        <v>259</v>
      </c>
      <c r="C39" t="s">
        <v>61</v>
      </c>
    </row>
    <row r="40" spans="2:5" x14ac:dyDescent="0.25">
      <c r="B40" t="s">
        <v>256</v>
      </c>
      <c r="C40" t="s">
        <v>62</v>
      </c>
      <c r="D40" s="3" t="s">
        <v>112</v>
      </c>
      <c r="E40" s="3" t="s">
        <v>133</v>
      </c>
    </row>
    <row r="41" spans="2:5" x14ac:dyDescent="0.25">
      <c r="B41" t="s">
        <v>258</v>
      </c>
      <c r="C41" t="s">
        <v>63</v>
      </c>
      <c r="D41" s="3" t="s">
        <v>117</v>
      </c>
      <c r="E41" s="3" t="s">
        <v>133</v>
      </c>
    </row>
    <row r="42" spans="2:5" x14ac:dyDescent="0.25">
      <c r="B42" t="s">
        <v>258</v>
      </c>
      <c r="C42" t="s">
        <v>64</v>
      </c>
      <c r="D42" s="3" t="s">
        <v>117</v>
      </c>
      <c r="E42" s="3" t="s">
        <v>133</v>
      </c>
    </row>
    <row r="43" spans="2:5" x14ac:dyDescent="0.25">
      <c r="B43" t="s">
        <v>257</v>
      </c>
      <c r="C43" t="s">
        <v>65</v>
      </c>
      <c r="D43" s="3" t="s">
        <v>114</v>
      </c>
      <c r="E43" s="3" t="s">
        <v>133</v>
      </c>
    </row>
    <row r="44" spans="2:5" x14ac:dyDescent="0.25">
      <c r="B44" t="s">
        <v>257</v>
      </c>
      <c r="C44" t="s">
        <v>66</v>
      </c>
      <c r="D44" s="3" t="s">
        <v>111</v>
      </c>
      <c r="E44" s="3" t="s">
        <v>133</v>
      </c>
    </row>
    <row r="45" spans="2:5" x14ac:dyDescent="0.25">
      <c r="B45" t="s">
        <v>257</v>
      </c>
      <c r="C45" t="s">
        <v>67</v>
      </c>
      <c r="D45" s="3" t="s">
        <v>118</v>
      </c>
      <c r="E45" s="3" t="s">
        <v>133</v>
      </c>
    </row>
    <row r="46" spans="2:5" x14ac:dyDescent="0.25">
      <c r="B46" t="s">
        <v>259</v>
      </c>
      <c r="C46" t="s">
        <v>68</v>
      </c>
    </row>
    <row r="47" spans="2:5" x14ac:dyDescent="0.25">
      <c r="B47" t="s">
        <v>261</v>
      </c>
      <c r="C47" t="s">
        <v>69</v>
      </c>
      <c r="D47" s="3" t="s">
        <v>22</v>
      </c>
      <c r="E47" s="3" t="s">
        <v>133</v>
      </c>
    </row>
    <row r="48" spans="2:5" x14ac:dyDescent="0.25">
      <c r="B48" t="s">
        <v>261</v>
      </c>
      <c r="C48" t="s">
        <v>70</v>
      </c>
      <c r="D48" s="3" t="s">
        <v>22</v>
      </c>
      <c r="E48" s="3" t="s">
        <v>133</v>
      </c>
    </row>
    <row r="49" spans="2:5" x14ac:dyDescent="0.25">
      <c r="B49" t="s">
        <v>261</v>
      </c>
      <c r="C49" t="s">
        <v>71</v>
      </c>
      <c r="D49" s="3" t="s">
        <v>22</v>
      </c>
      <c r="E49" s="3" t="s">
        <v>133</v>
      </c>
    </row>
    <row r="50" spans="2:5" x14ac:dyDescent="0.25">
      <c r="B50" t="s">
        <v>261</v>
      </c>
      <c r="C50" t="s">
        <v>72</v>
      </c>
      <c r="D50" s="3" t="s">
        <v>22</v>
      </c>
      <c r="E50" s="3" t="s">
        <v>133</v>
      </c>
    </row>
    <row r="51" spans="2:5" x14ac:dyDescent="0.25">
      <c r="B51" t="s">
        <v>261</v>
      </c>
      <c r="C51" t="s">
        <v>73</v>
      </c>
      <c r="D51" s="3" t="s">
        <v>22</v>
      </c>
      <c r="E51" s="3" t="s">
        <v>133</v>
      </c>
    </row>
    <row r="52" spans="2:5" x14ac:dyDescent="0.25">
      <c r="B52" t="s">
        <v>261</v>
      </c>
      <c r="C52" t="s">
        <v>74</v>
      </c>
      <c r="D52" s="3" t="s">
        <v>22</v>
      </c>
      <c r="E52" s="3" t="s">
        <v>133</v>
      </c>
    </row>
    <row r="53" spans="2:5" x14ac:dyDescent="0.25">
      <c r="B53" t="s">
        <v>261</v>
      </c>
      <c r="C53" t="s">
        <v>75</v>
      </c>
      <c r="D53" s="3" t="s">
        <v>119</v>
      </c>
      <c r="E53" s="3" t="s">
        <v>133</v>
      </c>
    </row>
    <row r="54" spans="2:5" x14ac:dyDescent="0.25">
      <c r="B54" t="s">
        <v>261</v>
      </c>
      <c r="C54" t="s">
        <v>76</v>
      </c>
      <c r="D54" s="3" t="s">
        <v>119</v>
      </c>
      <c r="E54" s="3" t="s">
        <v>133</v>
      </c>
    </row>
    <row r="55" spans="2:5" x14ac:dyDescent="0.25">
      <c r="B55" t="s">
        <v>261</v>
      </c>
      <c r="C55" t="s">
        <v>77</v>
      </c>
      <c r="D55" s="3" t="s">
        <v>22</v>
      </c>
      <c r="E55" s="3" t="s">
        <v>133</v>
      </c>
    </row>
    <row r="56" spans="2:5" x14ac:dyDescent="0.25">
      <c r="B56" t="s">
        <v>261</v>
      </c>
      <c r="C56" t="s">
        <v>75</v>
      </c>
      <c r="D56" s="3" t="s">
        <v>22</v>
      </c>
      <c r="E56" s="3" t="s">
        <v>134</v>
      </c>
    </row>
    <row r="57" spans="2:5" x14ac:dyDescent="0.25">
      <c r="B57" t="s">
        <v>261</v>
      </c>
      <c r="C57" t="s">
        <v>76</v>
      </c>
      <c r="D57" s="3" t="s">
        <v>22</v>
      </c>
      <c r="E57" s="3" t="s">
        <v>134</v>
      </c>
    </row>
    <row r="58" spans="2:5" x14ac:dyDescent="0.25">
      <c r="B58" t="s">
        <v>261</v>
      </c>
      <c r="C58" t="s">
        <v>77</v>
      </c>
      <c r="D58" s="3" t="s">
        <v>22</v>
      </c>
      <c r="E58" s="3" t="s">
        <v>134</v>
      </c>
    </row>
    <row r="59" spans="2:5" x14ac:dyDescent="0.25">
      <c r="B59" t="s">
        <v>261</v>
      </c>
      <c r="C59" t="s">
        <v>78</v>
      </c>
      <c r="D59" s="3" t="s">
        <v>119</v>
      </c>
      <c r="E59" s="3" t="s">
        <v>133</v>
      </c>
    </row>
    <row r="60" spans="2:5" x14ac:dyDescent="0.25">
      <c r="B60" t="s">
        <v>261</v>
      </c>
      <c r="C60" t="s">
        <v>79</v>
      </c>
      <c r="D60" s="3" t="s">
        <v>119</v>
      </c>
      <c r="E60" s="3" t="s">
        <v>133</v>
      </c>
    </row>
    <row r="61" spans="2:5" x14ac:dyDescent="0.25">
      <c r="B61" t="s">
        <v>261</v>
      </c>
      <c r="C61" t="s">
        <v>216</v>
      </c>
      <c r="D61" s="3" t="s">
        <v>119</v>
      </c>
      <c r="E61" s="3" t="s">
        <v>133</v>
      </c>
    </row>
    <row r="62" spans="2:5" x14ac:dyDescent="0.25">
      <c r="B62" t="s">
        <v>261</v>
      </c>
      <c r="C62" t="s">
        <v>217</v>
      </c>
      <c r="D62" s="3" t="s">
        <v>119</v>
      </c>
      <c r="E62" s="3" t="s">
        <v>133</v>
      </c>
    </row>
    <row r="63" spans="2:5" x14ac:dyDescent="0.25">
      <c r="B63" t="s">
        <v>261</v>
      </c>
      <c r="C63" t="s">
        <v>218</v>
      </c>
      <c r="D63" s="3" t="s">
        <v>119</v>
      </c>
      <c r="E63" s="3" t="s">
        <v>133</v>
      </c>
    </row>
    <row r="64" spans="2:5" x14ac:dyDescent="0.25">
      <c r="B64" t="s">
        <v>261</v>
      </c>
      <c r="C64" t="s">
        <v>219</v>
      </c>
      <c r="D64" s="3" t="s">
        <v>119</v>
      </c>
      <c r="E64" s="3" t="s">
        <v>133</v>
      </c>
    </row>
    <row r="65" spans="2:5" x14ac:dyDescent="0.25">
      <c r="B65" t="s">
        <v>257</v>
      </c>
      <c r="C65" t="s">
        <v>80</v>
      </c>
      <c r="D65" s="3" t="s">
        <v>120</v>
      </c>
      <c r="E65" s="3" t="s">
        <v>133</v>
      </c>
    </row>
    <row r="66" spans="2:5" x14ac:dyDescent="0.25">
      <c r="B66" t="s">
        <v>256</v>
      </c>
      <c r="C66" t="s">
        <v>81</v>
      </c>
      <c r="D66" s="3" t="s">
        <v>121</v>
      </c>
      <c r="E66" s="3" t="s">
        <v>133</v>
      </c>
    </row>
    <row r="67" spans="2:5" x14ac:dyDescent="0.25">
      <c r="B67" t="s">
        <v>255</v>
      </c>
      <c r="C67" t="s">
        <v>82</v>
      </c>
    </row>
    <row r="68" spans="2:5" x14ac:dyDescent="0.25">
      <c r="B68" t="s">
        <v>255</v>
      </c>
      <c r="C68" t="s">
        <v>83</v>
      </c>
      <c r="D68" s="3" t="s">
        <v>122</v>
      </c>
      <c r="E68" s="3" t="s">
        <v>133</v>
      </c>
    </row>
    <row r="69" spans="2:5" x14ac:dyDescent="0.25">
      <c r="B69" t="s">
        <v>262</v>
      </c>
      <c r="C69" t="s">
        <v>84</v>
      </c>
      <c r="D69" s="3" t="s">
        <v>123</v>
      </c>
      <c r="E69" s="3" t="s">
        <v>133</v>
      </c>
    </row>
    <row r="70" spans="2:5" x14ac:dyDescent="0.25">
      <c r="B70" t="s">
        <v>255</v>
      </c>
      <c r="C70" t="s">
        <v>85</v>
      </c>
      <c r="D70" s="3" t="s">
        <v>122</v>
      </c>
      <c r="E70" s="3" t="s">
        <v>133</v>
      </c>
    </row>
    <row r="71" spans="2:5" x14ac:dyDescent="0.25">
      <c r="B71" t="s">
        <v>255</v>
      </c>
      <c r="C71" t="s">
        <v>86</v>
      </c>
      <c r="D71" s="3" t="s">
        <v>122</v>
      </c>
      <c r="E71" s="3" t="s">
        <v>133</v>
      </c>
    </row>
    <row r="72" spans="2:5" x14ac:dyDescent="0.25">
      <c r="B72" t="s">
        <v>255</v>
      </c>
      <c r="C72" t="s">
        <v>87</v>
      </c>
      <c r="D72" s="3" t="s">
        <v>122</v>
      </c>
      <c r="E72" s="3" t="s">
        <v>133</v>
      </c>
    </row>
    <row r="73" spans="2:5" x14ac:dyDescent="0.25">
      <c r="B73" t="s">
        <v>255</v>
      </c>
      <c r="C73" t="s">
        <v>88</v>
      </c>
      <c r="D73" s="3" t="s">
        <v>122</v>
      </c>
      <c r="E73" s="3" t="s">
        <v>133</v>
      </c>
    </row>
    <row r="74" spans="2:5" x14ac:dyDescent="0.25">
      <c r="B74" t="s">
        <v>255</v>
      </c>
      <c r="C74" t="s">
        <v>89</v>
      </c>
      <c r="D74" s="3" t="s">
        <v>124</v>
      </c>
      <c r="E74" s="3" t="s">
        <v>133</v>
      </c>
    </row>
    <row r="75" spans="2:5" x14ac:dyDescent="0.25">
      <c r="B75" t="s">
        <v>255</v>
      </c>
      <c r="C75" t="s">
        <v>90</v>
      </c>
      <c r="D75" s="3" t="s">
        <v>124</v>
      </c>
      <c r="E75" s="3" t="s">
        <v>133</v>
      </c>
    </row>
    <row r="76" spans="2:5" x14ac:dyDescent="0.25">
      <c r="B76" t="s">
        <v>255</v>
      </c>
      <c r="C76" t="s">
        <v>91</v>
      </c>
      <c r="D76" s="3" t="s">
        <v>124</v>
      </c>
      <c r="E76" s="3" t="s">
        <v>133</v>
      </c>
    </row>
    <row r="77" spans="2:5" x14ac:dyDescent="0.25">
      <c r="B77" t="s">
        <v>255</v>
      </c>
      <c r="C77" t="s">
        <v>92</v>
      </c>
      <c r="D77" s="3" t="s">
        <v>124</v>
      </c>
      <c r="E77" s="3" t="s">
        <v>133</v>
      </c>
    </row>
    <row r="78" spans="2:5" x14ac:dyDescent="0.25">
      <c r="B78" t="s">
        <v>256</v>
      </c>
      <c r="C78" t="s">
        <v>93</v>
      </c>
      <c r="D78" s="3" t="s">
        <v>121</v>
      </c>
      <c r="E78" s="3" t="s">
        <v>133</v>
      </c>
    </row>
    <row r="79" spans="2:5" x14ac:dyDescent="0.25">
      <c r="B79" t="s">
        <v>256</v>
      </c>
      <c r="C79" t="s">
        <v>94</v>
      </c>
      <c r="D79" s="3" t="s">
        <v>121</v>
      </c>
      <c r="E79" s="3" t="s">
        <v>133</v>
      </c>
    </row>
    <row r="80" spans="2:5" x14ac:dyDescent="0.25">
      <c r="B80" t="s">
        <v>260</v>
      </c>
      <c r="C80" t="s">
        <v>95</v>
      </c>
    </row>
    <row r="81" spans="2:5" x14ac:dyDescent="0.25">
      <c r="B81" t="s">
        <v>260</v>
      </c>
      <c r="C81" t="s">
        <v>96</v>
      </c>
    </row>
    <row r="82" spans="2:5" x14ac:dyDescent="0.25">
      <c r="B82" t="s">
        <v>255</v>
      </c>
      <c r="C82" t="s">
        <v>97</v>
      </c>
      <c r="D82" s="3" t="s">
        <v>125</v>
      </c>
      <c r="E82" s="3" t="s">
        <v>133</v>
      </c>
    </row>
    <row r="83" spans="2:5" x14ac:dyDescent="0.25">
      <c r="B83" t="s">
        <v>255</v>
      </c>
      <c r="C83" t="s">
        <v>98</v>
      </c>
      <c r="D83" s="3" t="s">
        <v>126</v>
      </c>
      <c r="E83" s="3" t="s">
        <v>133</v>
      </c>
    </row>
    <row r="84" spans="2:5" x14ac:dyDescent="0.25">
      <c r="B84" t="s">
        <v>255</v>
      </c>
      <c r="C84" t="s">
        <v>99</v>
      </c>
      <c r="D84" s="3" t="s">
        <v>126</v>
      </c>
      <c r="E84" s="3" t="s">
        <v>133</v>
      </c>
    </row>
    <row r="85" spans="2:5" x14ac:dyDescent="0.25">
      <c r="B85" t="s">
        <v>255</v>
      </c>
      <c r="C85" t="s">
        <v>100</v>
      </c>
      <c r="D85" s="3" t="s">
        <v>127</v>
      </c>
      <c r="E85" s="3" t="s">
        <v>133</v>
      </c>
    </row>
    <row r="86" spans="2:5" x14ac:dyDescent="0.25">
      <c r="B86" t="s">
        <v>255</v>
      </c>
      <c r="C86" t="s">
        <v>101</v>
      </c>
      <c r="D86" s="3" t="s">
        <v>127</v>
      </c>
      <c r="E86" s="3" t="s">
        <v>133</v>
      </c>
    </row>
    <row r="87" spans="2:5" x14ac:dyDescent="0.25">
      <c r="B87" t="s">
        <v>255</v>
      </c>
      <c r="C87" t="s">
        <v>100</v>
      </c>
      <c r="D87" s="3" t="s">
        <v>128</v>
      </c>
      <c r="E87" s="3" t="s">
        <v>134</v>
      </c>
    </row>
    <row r="88" spans="2:5" x14ac:dyDescent="0.25">
      <c r="B88" t="s">
        <v>255</v>
      </c>
      <c r="C88" t="s">
        <v>101</v>
      </c>
      <c r="D88" s="3" t="s">
        <v>128</v>
      </c>
      <c r="E88" s="3" t="s">
        <v>134</v>
      </c>
    </row>
    <row r="89" spans="2:5" x14ac:dyDescent="0.25">
      <c r="B89" t="s">
        <v>262</v>
      </c>
      <c r="C89" t="s">
        <v>102</v>
      </c>
      <c r="D89" s="3" t="s">
        <v>129</v>
      </c>
      <c r="E89" s="3" t="s">
        <v>133</v>
      </c>
    </row>
    <row r="90" spans="2:5" x14ac:dyDescent="0.25">
      <c r="B90" t="s">
        <v>255</v>
      </c>
      <c r="C90" t="s">
        <v>103</v>
      </c>
      <c r="D90" s="3" t="s">
        <v>130</v>
      </c>
      <c r="E90" s="3" t="s">
        <v>133</v>
      </c>
    </row>
    <row r="91" spans="2:5" x14ac:dyDescent="0.25">
      <c r="B91" t="s">
        <v>255</v>
      </c>
      <c r="C91" t="s">
        <v>104</v>
      </c>
      <c r="D91" s="3" t="s">
        <v>130</v>
      </c>
      <c r="E91" s="3" t="s">
        <v>133</v>
      </c>
    </row>
    <row r="92" spans="2:5" x14ac:dyDescent="0.25">
      <c r="B92" t="s">
        <v>255</v>
      </c>
      <c r="C92" t="s">
        <v>105</v>
      </c>
      <c r="D92" s="3" t="s">
        <v>24</v>
      </c>
      <c r="E92" s="3" t="s">
        <v>133</v>
      </c>
    </row>
    <row r="93" spans="2:5" x14ac:dyDescent="0.25">
      <c r="B93" t="s">
        <v>255</v>
      </c>
      <c r="C93" t="s">
        <v>106</v>
      </c>
      <c r="D93" s="3" t="s">
        <v>24</v>
      </c>
      <c r="E93" s="3" t="s">
        <v>133</v>
      </c>
    </row>
    <row r="94" spans="2:5" x14ac:dyDescent="0.25">
      <c r="B94" t="s">
        <v>255</v>
      </c>
      <c r="C94" t="s">
        <v>107</v>
      </c>
      <c r="D94" s="3" t="s">
        <v>24</v>
      </c>
      <c r="E94" s="3" t="s">
        <v>133</v>
      </c>
    </row>
    <row r="95" spans="2:5" x14ac:dyDescent="0.25">
      <c r="B95" t="s">
        <v>255</v>
      </c>
      <c r="C95" t="s">
        <v>108</v>
      </c>
      <c r="D95" s="3" t="s">
        <v>131</v>
      </c>
      <c r="E95" s="3" t="s">
        <v>133</v>
      </c>
    </row>
    <row r="96" spans="2:5" x14ac:dyDescent="0.25">
      <c r="B96" t="s">
        <v>255</v>
      </c>
      <c r="C96" t="s">
        <v>137</v>
      </c>
      <c r="D96" s="3" t="s">
        <v>135</v>
      </c>
      <c r="E96" s="3" t="s">
        <v>133</v>
      </c>
    </row>
    <row r="97" spans="2:5" x14ac:dyDescent="0.25">
      <c r="B97" t="s">
        <v>255</v>
      </c>
      <c r="C97" t="s">
        <v>137</v>
      </c>
      <c r="D97" s="3" t="s">
        <v>124</v>
      </c>
      <c r="E97" s="3" t="s">
        <v>134</v>
      </c>
    </row>
    <row r="98" spans="2:5" x14ac:dyDescent="0.25">
      <c r="B98" t="s">
        <v>255</v>
      </c>
      <c r="C98" t="s">
        <v>138</v>
      </c>
      <c r="D98" s="3" t="s">
        <v>135</v>
      </c>
      <c r="E98" s="3" t="s">
        <v>133</v>
      </c>
    </row>
    <row r="99" spans="2:5" x14ac:dyDescent="0.25">
      <c r="B99" t="s">
        <v>255</v>
      </c>
      <c r="C99" t="s">
        <v>233</v>
      </c>
      <c r="D99" s="3" t="s">
        <v>124</v>
      </c>
      <c r="E99" s="3" t="s">
        <v>133</v>
      </c>
    </row>
    <row r="100" spans="2:5" x14ac:dyDescent="0.25">
      <c r="B100" t="s">
        <v>263</v>
      </c>
      <c r="C100" t="s">
        <v>213</v>
      </c>
      <c r="D100" s="3" t="s">
        <v>214</v>
      </c>
      <c r="E100" s="3" t="s">
        <v>133</v>
      </c>
    </row>
    <row r="101" spans="2:5" x14ac:dyDescent="0.25">
      <c r="B101" t="s">
        <v>263</v>
      </c>
      <c r="C101" t="s">
        <v>183</v>
      </c>
      <c r="D101" s="3" t="s">
        <v>214</v>
      </c>
      <c r="E101" s="3" t="s">
        <v>133</v>
      </c>
    </row>
    <row r="102" spans="2:5" x14ac:dyDescent="0.25">
      <c r="B102" t="s">
        <v>263</v>
      </c>
      <c r="C102" t="s">
        <v>184</v>
      </c>
      <c r="D102" s="3" t="s">
        <v>214</v>
      </c>
      <c r="E102" s="3" t="s">
        <v>133</v>
      </c>
    </row>
    <row r="103" spans="2:5" x14ac:dyDescent="0.25">
      <c r="B103" t="s">
        <v>263</v>
      </c>
      <c r="C103" t="s">
        <v>185</v>
      </c>
      <c r="D103" s="3" t="s">
        <v>214</v>
      </c>
      <c r="E103" s="3" t="s">
        <v>133</v>
      </c>
    </row>
    <row r="104" spans="2:5" x14ac:dyDescent="0.25">
      <c r="B104" t="s">
        <v>263</v>
      </c>
      <c r="C104" t="s">
        <v>186</v>
      </c>
      <c r="D104" s="3" t="s">
        <v>214</v>
      </c>
      <c r="E104" s="3" t="s">
        <v>133</v>
      </c>
    </row>
    <row r="105" spans="2:5" x14ac:dyDescent="0.25">
      <c r="B105" t="s">
        <v>263</v>
      </c>
      <c r="C105" t="s">
        <v>187</v>
      </c>
      <c r="D105" s="3" t="s">
        <v>214</v>
      </c>
      <c r="E105" s="3" t="s">
        <v>133</v>
      </c>
    </row>
    <row r="106" spans="2:5" x14ac:dyDescent="0.25">
      <c r="B106" t="s">
        <v>263</v>
      </c>
      <c r="C106" t="s">
        <v>188</v>
      </c>
      <c r="D106" s="3" t="s">
        <v>214</v>
      </c>
      <c r="E106" s="3" t="s">
        <v>133</v>
      </c>
    </row>
    <row r="107" spans="2:5" x14ac:dyDescent="0.25">
      <c r="B107" t="s">
        <v>263</v>
      </c>
      <c r="C107" t="s">
        <v>189</v>
      </c>
      <c r="D107" s="3" t="s">
        <v>214</v>
      </c>
      <c r="E107" s="3" t="s">
        <v>133</v>
      </c>
    </row>
    <row r="108" spans="2:5" x14ac:dyDescent="0.25">
      <c r="B108" t="s">
        <v>263</v>
      </c>
      <c r="C108" t="s">
        <v>190</v>
      </c>
      <c r="D108" s="3" t="s">
        <v>214</v>
      </c>
      <c r="E108" s="3" t="s">
        <v>133</v>
      </c>
    </row>
    <row r="109" spans="2:5" x14ac:dyDescent="0.25">
      <c r="B109" t="s">
        <v>263</v>
      </c>
      <c r="C109" t="s">
        <v>191</v>
      </c>
      <c r="D109" s="3" t="s">
        <v>214</v>
      </c>
      <c r="E109" s="3" t="s">
        <v>133</v>
      </c>
    </row>
    <row r="110" spans="2:5" x14ac:dyDescent="0.25">
      <c r="B110" t="s">
        <v>263</v>
      </c>
      <c r="C110" t="s">
        <v>192</v>
      </c>
      <c r="D110" s="3" t="s">
        <v>214</v>
      </c>
      <c r="E110" s="3" t="s">
        <v>133</v>
      </c>
    </row>
    <row r="111" spans="2:5" x14ac:dyDescent="0.25">
      <c r="B111" t="s">
        <v>263</v>
      </c>
      <c r="C111" t="s">
        <v>193</v>
      </c>
      <c r="D111" s="3" t="s">
        <v>214</v>
      </c>
      <c r="E111" s="3" t="s">
        <v>133</v>
      </c>
    </row>
    <row r="112" spans="2:5" x14ac:dyDescent="0.25">
      <c r="B112" t="s">
        <v>263</v>
      </c>
      <c r="C112" t="s">
        <v>194</v>
      </c>
      <c r="D112" s="3" t="s">
        <v>214</v>
      </c>
      <c r="E112" s="3" t="s">
        <v>133</v>
      </c>
    </row>
    <row r="113" spans="2:5" x14ac:dyDescent="0.25">
      <c r="B113" t="s">
        <v>263</v>
      </c>
      <c r="C113" t="s">
        <v>195</v>
      </c>
      <c r="D113" s="3" t="s">
        <v>214</v>
      </c>
      <c r="E113" s="3" t="s">
        <v>133</v>
      </c>
    </row>
    <row r="114" spans="2:5" x14ac:dyDescent="0.25">
      <c r="B114" t="s">
        <v>263</v>
      </c>
      <c r="C114" t="s">
        <v>196</v>
      </c>
      <c r="D114" s="3" t="s">
        <v>214</v>
      </c>
      <c r="E114" s="3" t="s">
        <v>133</v>
      </c>
    </row>
    <row r="115" spans="2:5" x14ac:dyDescent="0.25">
      <c r="B115" t="s">
        <v>263</v>
      </c>
      <c r="C115" t="s">
        <v>197</v>
      </c>
      <c r="D115" s="3" t="s">
        <v>214</v>
      </c>
      <c r="E115" s="3" t="s">
        <v>133</v>
      </c>
    </row>
    <row r="116" spans="2:5" x14ac:dyDescent="0.25">
      <c r="B116" t="s">
        <v>263</v>
      </c>
      <c r="C116" t="s">
        <v>198</v>
      </c>
      <c r="D116" s="3" t="s">
        <v>214</v>
      </c>
      <c r="E116" s="3" t="s">
        <v>133</v>
      </c>
    </row>
    <row r="117" spans="2:5" x14ac:dyDescent="0.25">
      <c r="B117" t="s">
        <v>263</v>
      </c>
      <c r="C117" t="s">
        <v>199</v>
      </c>
      <c r="D117" s="3" t="s">
        <v>214</v>
      </c>
      <c r="E117" s="3" t="s">
        <v>133</v>
      </c>
    </row>
    <row r="118" spans="2:5" x14ac:dyDescent="0.25">
      <c r="B118" t="s">
        <v>263</v>
      </c>
      <c r="C118" t="s">
        <v>200</v>
      </c>
      <c r="D118" s="3" t="s">
        <v>214</v>
      </c>
      <c r="E118" s="3" t="s">
        <v>133</v>
      </c>
    </row>
    <row r="119" spans="2:5" x14ac:dyDescent="0.25">
      <c r="B119" t="s">
        <v>263</v>
      </c>
      <c r="C119" t="s">
        <v>201</v>
      </c>
      <c r="D119" s="3" t="s">
        <v>214</v>
      </c>
      <c r="E119" s="3" t="s">
        <v>133</v>
      </c>
    </row>
    <row r="120" spans="2:5" x14ac:dyDescent="0.25">
      <c r="B120" t="s">
        <v>263</v>
      </c>
      <c r="C120" t="s">
        <v>202</v>
      </c>
      <c r="D120" s="3" t="s">
        <v>214</v>
      </c>
      <c r="E120" s="3" t="s">
        <v>133</v>
      </c>
    </row>
    <row r="121" spans="2:5" x14ac:dyDescent="0.25">
      <c r="B121" t="s">
        <v>263</v>
      </c>
      <c r="C121" t="s">
        <v>203</v>
      </c>
      <c r="D121" s="3" t="s">
        <v>214</v>
      </c>
      <c r="E121" s="3" t="s">
        <v>133</v>
      </c>
    </row>
    <row r="122" spans="2:5" x14ac:dyDescent="0.25">
      <c r="B122" t="s">
        <v>263</v>
      </c>
      <c r="C122" t="s">
        <v>204</v>
      </c>
      <c r="D122" s="3" t="s">
        <v>214</v>
      </c>
      <c r="E122" s="3" t="s">
        <v>133</v>
      </c>
    </row>
    <row r="123" spans="2:5" x14ac:dyDescent="0.25">
      <c r="B123" t="s">
        <v>263</v>
      </c>
      <c r="C123" t="s">
        <v>205</v>
      </c>
      <c r="D123" s="3" t="s">
        <v>214</v>
      </c>
      <c r="E123" s="3" t="s">
        <v>133</v>
      </c>
    </row>
    <row r="124" spans="2:5" x14ac:dyDescent="0.25">
      <c r="B124" t="s">
        <v>263</v>
      </c>
      <c r="C124" t="s">
        <v>206</v>
      </c>
      <c r="D124" s="3" t="s">
        <v>214</v>
      </c>
      <c r="E124" s="3" t="s">
        <v>133</v>
      </c>
    </row>
    <row r="125" spans="2:5" x14ac:dyDescent="0.25">
      <c r="B125" t="s">
        <v>263</v>
      </c>
      <c r="C125" t="s">
        <v>207</v>
      </c>
      <c r="D125" s="3" t="s">
        <v>214</v>
      </c>
      <c r="E125" s="3" t="s">
        <v>133</v>
      </c>
    </row>
    <row r="126" spans="2:5" x14ac:dyDescent="0.25">
      <c r="B126" t="s">
        <v>263</v>
      </c>
      <c r="C126" t="s">
        <v>208</v>
      </c>
      <c r="D126" s="3" t="s">
        <v>214</v>
      </c>
      <c r="E126" s="3" t="s">
        <v>133</v>
      </c>
    </row>
    <row r="127" spans="2:5" x14ac:dyDescent="0.25">
      <c r="B127" t="s">
        <v>263</v>
      </c>
      <c r="C127" t="s">
        <v>209</v>
      </c>
      <c r="D127" s="3" t="s">
        <v>214</v>
      </c>
      <c r="E127" s="3" t="s">
        <v>133</v>
      </c>
    </row>
    <row r="128" spans="2:5" x14ac:dyDescent="0.25">
      <c r="B128" t="s">
        <v>263</v>
      </c>
      <c r="C128" t="s">
        <v>210</v>
      </c>
      <c r="D128" s="3" t="s">
        <v>214</v>
      </c>
      <c r="E128" s="3" t="s">
        <v>133</v>
      </c>
    </row>
    <row r="129" spans="2:5" x14ac:dyDescent="0.25">
      <c r="B129" t="s">
        <v>263</v>
      </c>
      <c r="C129" t="s">
        <v>211</v>
      </c>
      <c r="D129" s="3" t="s">
        <v>214</v>
      </c>
      <c r="E129" s="3" t="s">
        <v>133</v>
      </c>
    </row>
    <row r="130" spans="2:5" x14ac:dyDescent="0.25">
      <c r="B130" t="s">
        <v>263</v>
      </c>
      <c r="C130" t="s">
        <v>212</v>
      </c>
      <c r="D130" s="3" t="s">
        <v>214</v>
      </c>
      <c r="E130" s="3" t="s">
        <v>133</v>
      </c>
    </row>
    <row r="131" spans="2:5" x14ac:dyDescent="0.25">
      <c r="B131" t="s">
        <v>263</v>
      </c>
      <c r="C131" t="s">
        <v>318</v>
      </c>
      <c r="D131" s="3" t="s">
        <v>214</v>
      </c>
      <c r="E131" s="3" t="s">
        <v>133</v>
      </c>
    </row>
    <row r="132" spans="2:5" x14ac:dyDescent="0.25">
      <c r="B132" t="s">
        <v>264</v>
      </c>
      <c r="C132" t="s">
        <v>148</v>
      </c>
      <c r="D132" s="3" t="s">
        <v>166</v>
      </c>
    </row>
    <row r="133" spans="2:5" x14ac:dyDescent="0.25">
      <c r="B133" t="s">
        <v>264</v>
      </c>
      <c r="C133" t="s">
        <v>165</v>
      </c>
      <c r="D133" s="3" t="s">
        <v>166</v>
      </c>
    </row>
    <row r="134" spans="2:5" x14ac:dyDescent="0.25">
      <c r="B134" t="s">
        <v>261</v>
      </c>
      <c r="C134" t="s">
        <v>248</v>
      </c>
      <c r="D134" s="3" t="s">
        <v>247</v>
      </c>
    </row>
    <row r="135" spans="2:5" x14ac:dyDescent="0.25">
      <c r="B135" t="s">
        <v>261</v>
      </c>
      <c r="C135" t="s">
        <v>249</v>
      </c>
      <c r="D135" s="3" t="s">
        <v>247</v>
      </c>
    </row>
    <row r="136" spans="2:5" x14ac:dyDescent="0.25">
      <c r="B136" t="s">
        <v>261</v>
      </c>
      <c r="C136" t="s">
        <v>246</v>
      </c>
      <c r="D136" s="3" t="s">
        <v>247</v>
      </c>
    </row>
    <row r="137" spans="2:5" x14ac:dyDescent="0.25">
      <c r="B137" t="s">
        <v>261</v>
      </c>
      <c r="C137" t="s">
        <v>181</v>
      </c>
      <c r="D137" s="3" t="s">
        <v>22</v>
      </c>
    </row>
    <row r="138" spans="2:5" x14ac:dyDescent="0.25">
      <c r="B138" t="s">
        <v>264</v>
      </c>
      <c r="C138" t="s">
        <v>152</v>
      </c>
      <c r="D138" s="3" t="s">
        <v>155</v>
      </c>
    </row>
    <row r="139" spans="2:5" x14ac:dyDescent="0.25">
      <c r="B139" t="s">
        <v>264</v>
      </c>
      <c r="C139" t="s">
        <v>153</v>
      </c>
      <c r="D139" s="3" t="s">
        <v>155</v>
      </c>
    </row>
    <row r="140" spans="2:5" x14ac:dyDescent="0.25">
      <c r="B140" t="s">
        <v>264</v>
      </c>
      <c r="C140" t="s">
        <v>154</v>
      </c>
      <c r="D140" s="3" t="s">
        <v>155</v>
      </c>
    </row>
    <row r="141" spans="2:5" x14ac:dyDescent="0.25">
      <c r="B141" t="s">
        <v>264</v>
      </c>
      <c r="C141" t="s">
        <v>140</v>
      </c>
      <c r="D141" s="3" t="s">
        <v>149</v>
      </c>
    </row>
    <row r="142" spans="2:5" x14ac:dyDescent="0.25">
      <c r="B142" t="s">
        <v>264</v>
      </c>
      <c r="C142" t="s">
        <v>141</v>
      </c>
      <c r="D142" s="3" t="s">
        <v>149</v>
      </c>
    </row>
    <row r="143" spans="2:5" x14ac:dyDescent="0.25">
      <c r="B143" t="s">
        <v>264</v>
      </c>
      <c r="C143" t="s">
        <v>142</v>
      </c>
      <c r="D143" s="3" t="s">
        <v>149</v>
      </c>
    </row>
    <row r="144" spans="2:5" x14ac:dyDescent="0.25">
      <c r="B144" t="s">
        <v>264</v>
      </c>
      <c r="C144" t="s">
        <v>143</v>
      </c>
      <c r="D144" s="3" t="s">
        <v>149</v>
      </c>
    </row>
    <row r="145" spans="2:5" x14ac:dyDescent="0.25">
      <c r="B145" t="s">
        <v>264</v>
      </c>
      <c r="C145" t="s">
        <v>144</v>
      </c>
      <c r="D145" s="3" t="s">
        <v>149</v>
      </c>
    </row>
    <row r="146" spans="2:5" x14ac:dyDescent="0.25">
      <c r="B146" t="s">
        <v>264</v>
      </c>
      <c r="C146" t="s">
        <v>145</v>
      </c>
      <c r="D146" s="3" t="s">
        <v>149</v>
      </c>
    </row>
    <row r="147" spans="2:5" x14ac:dyDescent="0.25">
      <c r="B147" t="s">
        <v>264</v>
      </c>
      <c r="C147" t="s">
        <v>146</v>
      </c>
      <c r="D147" s="3" t="s">
        <v>149</v>
      </c>
    </row>
    <row r="148" spans="2:5" x14ac:dyDescent="0.25">
      <c r="B148" t="s">
        <v>264</v>
      </c>
      <c r="C148" t="s">
        <v>147</v>
      </c>
      <c r="D148" s="3" t="s">
        <v>149</v>
      </c>
      <c r="E148" s="8"/>
    </row>
    <row r="149" spans="2:5" x14ac:dyDescent="0.25">
      <c r="B149" t="s">
        <v>264</v>
      </c>
      <c r="C149" t="s">
        <v>142</v>
      </c>
      <c r="D149" s="3" t="s">
        <v>149</v>
      </c>
    </row>
    <row r="150" spans="2:5" x14ac:dyDescent="0.25">
      <c r="B150" t="s">
        <v>265</v>
      </c>
      <c r="C150" t="s">
        <v>173</v>
      </c>
      <c r="D150" s="3" t="s">
        <v>175</v>
      </c>
    </row>
    <row r="151" spans="2:5" x14ac:dyDescent="0.25">
      <c r="B151" t="s">
        <v>265</v>
      </c>
      <c r="C151" t="s">
        <v>174</v>
      </c>
      <c r="D151" s="3" t="s">
        <v>175</v>
      </c>
    </row>
    <row r="152" spans="2:5" x14ac:dyDescent="0.25">
      <c r="B152" t="s">
        <v>265</v>
      </c>
      <c r="C152" s="22" t="s">
        <v>222</v>
      </c>
      <c r="D152" s="3" t="s">
        <v>175</v>
      </c>
    </row>
    <row r="153" spans="2:5" x14ac:dyDescent="0.25">
      <c r="B153" t="s">
        <v>265</v>
      </c>
      <c r="C153" t="s">
        <v>223</v>
      </c>
      <c r="D153" s="3" t="s">
        <v>175</v>
      </c>
    </row>
    <row r="154" spans="2:5" x14ac:dyDescent="0.25">
      <c r="B154" t="s">
        <v>262</v>
      </c>
      <c r="C154" t="s">
        <v>234</v>
      </c>
      <c r="D154" s="3" t="s">
        <v>235</v>
      </c>
    </row>
    <row r="155" spans="2:5" x14ac:dyDescent="0.25">
      <c r="B155" t="s">
        <v>266</v>
      </c>
      <c r="C155" s="7" t="s">
        <v>158</v>
      </c>
    </row>
    <row r="156" spans="2:5" x14ac:dyDescent="0.25">
      <c r="B156" t="s">
        <v>266</v>
      </c>
      <c r="C156" s="7" t="s">
        <v>159</v>
      </c>
    </row>
    <row r="157" spans="2:5" x14ac:dyDescent="0.25">
      <c r="B157" t="s">
        <v>266</v>
      </c>
      <c r="C157" s="7" t="s">
        <v>313</v>
      </c>
    </row>
    <row r="158" spans="2:5" x14ac:dyDescent="0.25">
      <c r="B158" t="s">
        <v>266</v>
      </c>
      <c r="C158" s="7" t="s">
        <v>314</v>
      </c>
    </row>
    <row r="159" spans="2:5" x14ac:dyDescent="0.25">
      <c r="B159" t="s">
        <v>255</v>
      </c>
      <c r="C159" t="s">
        <v>220</v>
      </c>
    </row>
    <row r="160" spans="2:5" x14ac:dyDescent="0.25">
      <c r="B160" t="s">
        <v>255</v>
      </c>
      <c r="C160" t="s">
        <v>319</v>
      </c>
    </row>
    <row r="161" spans="2:4" x14ac:dyDescent="0.25">
      <c r="B161" t="s">
        <v>262</v>
      </c>
      <c r="C161" t="s">
        <v>225</v>
      </c>
    </row>
    <row r="162" spans="2:4" x14ac:dyDescent="0.25">
      <c r="B162" t="s">
        <v>266</v>
      </c>
      <c r="C162" t="s">
        <v>267</v>
      </c>
    </row>
    <row r="163" spans="2:4" x14ac:dyDescent="0.25">
      <c r="B163" t="s">
        <v>262</v>
      </c>
      <c r="C163" t="s">
        <v>229</v>
      </c>
      <c r="D163" s="3" t="s">
        <v>232</v>
      </c>
    </row>
    <row r="164" spans="2:4" x14ac:dyDescent="0.25">
      <c r="B164" t="s">
        <v>262</v>
      </c>
      <c r="C164" t="s">
        <v>230</v>
      </c>
      <c r="D164" s="3" t="s">
        <v>232</v>
      </c>
    </row>
    <row r="165" spans="2:4" x14ac:dyDescent="0.25">
      <c r="B165" t="s">
        <v>262</v>
      </c>
      <c r="C165" t="s">
        <v>231</v>
      </c>
      <c r="D165" s="3" t="s">
        <v>232</v>
      </c>
    </row>
    <row r="166" spans="2:4" x14ac:dyDescent="0.25">
      <c r="B166" t="s">
        <v>258</v>
      </c>
      <c r="C166" t="s">
        <v>270</v>
      </c>
      <c r="D166" s="3" t="s">
        <v>117</v>
      </c>
    </row>
    <row r="167" spans="2:4" x14ac:dyDescent="0.25">
      <c r="B167" t="s">
        <v>264</v>
      </c>
      <c r="C167" t="s">
        <v>253</v>
      </c>
    </row>
    <row r="168" spans="2:4" x14ac:dyDescent="0.25">
      <c r="B168" t="s">
        <v>264</v>
      </c>
      <c r="C168" t="s">
        <v>168</v>
      </c>
    </row>
    <row r="169" spans="2:4" x14ac:dyDescent="0.25">
      <c r="B169" t="s">
        <v>264</v>
      </c>
      <c r="C169" t="s">
        <v>169</v>
      </c>
    </row>
    <row r="170" spans="2:4" x14ac:dyDescent="0.25">
      <c r="B170" t="s">
        <v>327</v>
      </c>
      <c r="C170" t="s">
        <v>269</v>
      </c>
      <c r="D170" s="3" t="s">
        <v>114</v>
      </c>
    </row>
    <row r="171" spans="2:4" x14ac:dyDescent="0.25">
      <c r="B171" t="s">
        <v>264</v>
      </c>
      <c r="C171" t="s">
        <v>271</v>
      </c>
    </row>
    <row r="172" spans="2:4" x14ac:dyDescent="0.25">
      <c r="B172" t="s">
        <v>264</v>
      </c>
      <c r="C172" t="s">
        <v>140</v>
      </c>
    </row>
    <row r="173" spans="2:4" x14ac:dyDescent="0.25">
      <c r="B173" t="s">
        <v>264</v>
      </c>
      <c r="C173" t="s">
        <v>168</v>
      </c>
    </row>
    <row r="174" spans="2:4" x14ac:dyDescent="0.25">
      <c r="B174" t="s">
        <v>264</v>
      </c>
      <c r="C174" t="s">
        <v>141</v>
      </c>
    </row>
    <row r="175" spans="2:4" x14ac:dyDescent="0.25">
      <c r="B175" t="s">
        <v>264</v>
      </c>
      <c r="C175" t="s">
        <v>272</v>
      </c>
    </row>
    <row r="176" spans="2:4" x14ac:dyDescent="0.25">
      <c r="B176" t="s">
        <v>264</v>
      </c>
      <c r="C176" t="s">
        <v>144</v>
      </c>
    </row>
    <row r="177" spans="2:3" x14ac:dyDescent="0.25">
      <c r="B177" t="s">
        <v>264</v>
      </c>
      <c r="C177" t="s">
        <v>145</v>
      </c>
    </row>
    <row r="178" spans="2:3" x14ac:dyDescent="0.25">
      <c r="B178" t="s">
        <v>264</v>
      </c>
      <c r="C178" t="s">
        <v>146</v>
      </c>
    </row>
    <row r="179" spans="2:3" x14ac:dyDescent="0.25">
      <c r="B179" t="s">
        <v>264</v>
      </c>
      <c r="C179" t="s">
        <v>273</v>
      </c>
    </row>
    <row r="180" spans="2:3" x14ac:dyDescent="0.25">
      <c r="B180" t="s">
        <v>264</v>
      </c>
      <c r="C180" t="s">
        <v>274</v>
      </c>
    </row>
    <row r="181" spans="2:3" x14ac:dyDescent="0.25">
      <c r="B181" t="s">
        <v>264</v>
      </c>
      <c r="C181" t="s">
        <v>275</v>
      </c>
    </row>
    <row r="182" spans="2:3" x14ac:dyDescent="0.25">
      <c r="B182" t="s">
        <v>264</v>
      </c>
      <c r="C182" t="s">
        <v>276</v>
      </c>
    </row>
    <row r="183" spans="2:3" x14ac:dyDescent="0.25">
      <c r="B183" t="s">
        <v>264</v>
      </c>
      <c r="C183" t="s">
        <v>277</v>
      </c>
    </row>
    <row r="184" spans="2:3" x14ac:dyDescent="0.25">
      <c r="B184" t="s">
        <v>264</v>
      </c>
      <c r="C184" t="s">
        <v>278</v>
      </c>
    </row>
    <row r="185" spans="2:3" x14ac:dyDescent="0.25">
      <c r="B185" t="s">
        <v>264</v>
      </c>
      <c r="C185" t="s">
        <v>143</v>
      </c>
    </row>
    <row r="186" spans="2:3" x14ac:dyDescent="0.25">
      <c r="B186" t="s">
        <v>264</v>
      </c>
      <c r="C186" t="s">
        <v>279</v>
      </c>
    </row>
    <row r="187" spans="2:3" x14ac:dyDescent="0.25">
      <c r="B187" t="s">
        <v>264</v>
      </c>
      <c r="C187" t="s">
        <v>280</v>
      </c>
    </row>
    <row r="188" spans="2:3" x14ac:dyDescent="0.25">
      <c r="B188" t="s">
        <v>264</v>
      </c>
      <c r="C188" t="s">
        <v>281</v>
      </c>
    </row>
    <row r="189" spans="2:3" x14ac:dyDescent="0.25">
      <c r="B189" t="s">
        <v>264</v>
      </c>
      <c r="C189" t="s">
        <v>142</v>
      </c>
    </row>
    <row r="190" spans="2:3" x14ac:dyDescent="0.25">
      <c r="B190" t="s">
        <v>264</v>
      </c>
      <c r="C190" t="s">
        <v>147</v>
      </c>
    </row>
    <row r="191" spans="2:3" x14ac:dyDescent="0.25">
      <c r="B191" t="s">
        <v>264</v>
      </c>
      <c r="C191" t="s">
        <v>152</v>
      </c>
    </row>
    <row r="192" spans="2:3" x14ac:dyDescent="0.25">
      <c r="B192" t="s">
        <v>264</v>
      </c>
      <c r="C192" t="s">
        <v>153</v>
      </c>
    </row>
    <row r="193" spans="2:3" x14ac:dyDescent="0.25">
      <c r="B193" t="s">
        <v>264</v>
      </c>
      <c r="C193" t="s">
        <v>154</v>
      </c>
    </row>
    <row r="194" spans="2:3" x14ac:dyDescent="0.25">
      <c r="B194" t="s">
        <v>264</v>
      </c>
      <c r="C194" t="s">
        <v>282</v>
      </c>
    </row>
    <row r="195" spans="2:3" x14ac:dyDescent="0.25">
      <c r="B195" t="s">
        <v>264</v>
      </c>
      <c r="C195" t="s">
        <v>253</v>
      </c>
    </row>
    <row r="196" spans="2:3" x14ac:dyDescent="0.25">
      <c r="B196" t="s">
        <v>264</v>
      </c>
      <c r="C196" t="s">
        <v>283</v>
      </c>
    </row>
    <row r="197" spans="2:3" x14ac:dyDescent="0.25">
      <c r="B197" t="s">
        <v>264</v>
      </c>
      <c r="C197" t="s">
        <v>169</v>
      </c>
    </row>
    <row r="198" spans="2:3" x14ac:dyDescent="0.25">
      <c r="B198" t="s">
        <v>264</v>
      </c>
      <c r="C198" t="s">
        <v>170</v>
      </c>
    </row>
    <row r="199" spans="2:3" x14ac:dyDescent="0.25">
      <c r="B199" t="s">
        <v>264</v>
      </c>
      <c r="C199" t="s">
        <v>171</v>
      </c>
    </row>
    <row r="200" spans="2:3" x14ac:dyDescent="0.25">
      <c r="B200" t="s">
        <v>264</v>
      </c>
      <c r="C200" t="s">
        <v>284</v>
      </c>
    </row>
    <row r="201" spans="2:3" x14ac:dyDescent="0.25">
      <c r="B201" t="s">
        <v>264</v>
      </c>
      <c r="C201" t="s">
        <v>285</v>
      </c>
    </row>
    <row r="202" spans="2:3" x14ac:dyDescent="0.25">
      <c r="B202" t="s">
        <v>264</v>
      </c>
      <c r="C202" t="s">
        <v>286</v>
      </c>
    </row>
    <row r="203" spans="2:3" x14ac:dyDescent="0.25">
      <c r="B203" t="s">
        <v>264</v>
      </c>
      <c r="C203" t="s">
        <v>287</v>
      </c>
    </row>
    <row r="204" spans="2:3" x14ac:dyDescent="0.25">
      <c r="B204" t="s">
        <v>264</v>
      </c>
      <c r="C204" t="s">
        <v>288</v>
      </c>
    </row>
    <row r="205" spans="2:3" x14ac:dyDescent="0.25">
      <c r="B205" t="s">
        <v>264</v>
      </c>
      <c r="C205" t="s">
        <v>289</v>
      </c>
    </row>
    <row r="206" spans="2:3" x14ac:dyDescent="0.25">
      <c r="B206" t="s">
        <v>264</v>
      </c>
      <c r="C206" t="s">
        <v>290</v>
      </c>
    </row>
    <row r="207" spans="2:3" x14ac:dyDescent="0.25">
      <c r="B207" t="s">
        <v>264</v>
      </c>
      <c r="C207" t="s">
        <v>291</v>
      </c>
    </row>
    <row r="208" spans="2:3" x14ac:dyDescent="0.25">
      <c r="B208" t="s">
        <v>264</v>
      </c>
      <c r="C208" t="s">
        <v>292</v>
      </c>
    </row>
    <row r="209" spans="2:3" x14ac:dyDescent="0.25">
      <c r="B209" t="s">
        <v>264</v>
      </c>
      <c r="C209" t="s">
        <v>293</v>
      </c>
    </row>
    <row r="210" spans="2:3" x14ac:dyDescent="0.25">
      <c r="B210" t="s">
        <v>264</v>
      </c>
      <c r="C210" t="s">
        <v>294</v>
      </c>
    </row>
    <row r="211" spans="2:3" x14ac:dyDescent="0.25">
      <c r="B211" t="s">
        <v>264</v>
      </c>
      <c r="C211" t="s">
        <v>295</v>
      </c>
    </row>
    <row r="212" spans="2:3" x14ac:dyDescent="0.25">
      <c r="B212" t="s">
        <v>264</v>
      </c>
      <c r="C212" t="s">
        <v>296</v>
      </c>
    </row>
    <row r="213" spans="2:3" x14ac:dyDescent="0.25">
      <c r="B213" t="s">
        <v>264</v>
      </c>
      <c r="C213" t="s">
        <v>297</v>
      </c>
    </row>
    <row r="214" spans="2:3" x14ac:dyDescent="0.25">
      <c r="B214" t="s">
        <v>264</v>
      </c>
      <c r="C214" t="s">
        <v>298</v>
      </c>
    </row>
    <row r="215" spans="2:3" x14ac:dyDescent="0.25">
      <c r="B215" t="s">
        <v>264</v>
      </c>
      <c r="C215" t="s">
        <v>299</v>
      </c>
    </row>
    <row r="216" spans="2:3" x14ac:dyDescent="0.25">
      <c r="B216" t="s">
        <v>264</v>
      </c>
      <c r="C216" t="s">
        <v>300</v>
      </c>
    </row>
    <row r="217" spans="2:3" x14ac:dyDescent="0.25">
      <c r="B217" t="s">
        <v>264</v>
      </c>
      <c r="C217" t="s">
        <v>301</v>
      </c>
    </row>
    <row r="218" spans="2:3" x14ac:dyDescent="0.25">
      <c r="B218" t="s">
        <v>264</v>
      </c>
      <c r="C218" t="s">
        <v>302</v>
      </c>
    </row>
    <row r="219" spans="2:3" x14ac:dyDescent="0.25">
      <c r="B219" t="s">
        <v>264</v>
      </c>
      <c r="C219" t="s">
        <v>303</v>
      </c>
    </row>
    <row r="220" spans="2:3" x14ac:dyDescent="0.25">
      <c r="B220" t="s">
        <v>264</v>
      </c>
      <c r="C220" t="s">
        <v>304</v>
      </c>
    </row>
    <row r="221" spans="2:3" x14ac:dyDescent="0.25">
      <c r="B221" t="s">
        <v>264</v>
      </c>
      <c r="C221" t="s">
        <v>305</v>
      </c>
    </row>
    <row r="222" spans="2:3" x14ac:dyDescent="0.25">
      <c r="B222" t="s">
        <v>264</v>
      </c>
      <c r="C222" t="s">
        <v>306</v>
      </c>
    </row>
    <row r="223" spans="2:3" x14ac:dyDescent="0.25">
      <c r="B223" t="s">
        <v>264</v>
      </c>
      <c r="C223" t="s">
        <v>307</v>
      </c>
    </row>
    <row r="224" spans="2:3" x14ac:dyDescent="0.25">
      <c r="B224" t="s">
        <v>264</v>
      </c>
      <c r="C224" t="s">
        <v>308</v>
      </c>
    </row>
    <row r="225" spans="2:4" x14ac:dyDescent="0.25">
      <c r="B225" t="s">
        <v>264</v>
      </c>
      <c r="C225" t="s">
        <v>309</v>
      </c>
    </row>
    <row r="226" spans="2:4" x14ac:dyDescent="0.25">
      <c r="B226" t="s">
        <v>264</v>
      </c>
      <c r="C226" t="s">
        <v>310</v>
      </c>
    </row>
    <row r="227" spans="2:4" x14ac:dyDescent="0.25">
      <c r="B227" t="s">
        <v>257</v>
      </c>
      <c r="C227" t="s">
        <v>312</v>
      </c>
      <c r="D227" s="3" t="s">
        <v>118</v>
      </c>
    </row>
    <row r="228" spans="2:4" x14ac:dyDescent="0.25">
      <c r="B228" t="s">
        <v>266</v>
      </c>
      <c r="C228" t="s">
        <v>315</v>
      </c>
      <c r="D228" s="3" t="s">
        <v>268</v>
      </c>
    </row>
    <row r="229" spans="2:4" x14ac:dyDescent="0.25">
      <c r="B229" t="s">
        <v>266</v>
      </c>
      <c r="C229" t="s">
        <v>316</v>
      </c>
      <c r="D229" s="3" t="s">
        <v>268</v>
      </c>
    </row>
    <row r="230" spans="2:4" x14ac:dyDescent="0.25">
      <c r="B230" t="s">
        <v>266</v>
      </c>
      <c r="C230" t="s">
        <v>317</v>
      </c>
      <c r="D230" s="3" t="s">
        <v>268</v>
      </c>
    </row>
    <row r="231" spans="2:4" x14ac:dyDescent="0.25">
      <c r="B231" t="s">
        <v>266</v>
      </c>
      <c r="C231" t="s">
        <v>320</v>
      </c>
      <c r="D231" s="3" t="s">
        <v>268</v>
      </c>
    </row>
    <row r="232" spans="2:4" x14ac:dyDescent="0.25">
      <c r="B232" t="s">
        <v>266</v>
      </c>
      <c r="C232" t="s">
        <v>323</v>
      </c>
      <c r="D232" s="3" t="s">
        <v>268</v>
      </c>
    </row>
    <row r="233" spans="2:4" x14ac:dyDescent="0.25">
      <c r="B233" t="s">
        <v>266</v>
      </c>
      <c r="C233" t="s">
        <v>321</v>
      </c>
      <c r="D233" s="3" t="s">
        <v>268</v>
      </c>
    </row>
    <row r="234" spans="2:4" x14ac:dyDescent="0.25">
      <c r="B234" t="s">
        <v>266</v>
      </c>
      <c r="C234" t="s">
        <v>322</v>
      </c>
      <c r="D234" s="3" t="s">
        <v>268</v>
      </c>
    </row>
    <row r="235" spans="2:4" x14ac:dyDescent="0.25">
      <c r="B235" t="s">
        <v>266</v>
      </c>
      <c r="C235" s="22" t="s">
        <v>324</v>
      </c>
      <c r="D235" s="3" t="s">
        <v>268</v>
      </c>
    </row>
  </sheetData>
  <dataValidations count="1">
    <dataValidation type="list" allowBlank="1" showInputMessage="1" showErrorMessage="1" sqref="C152 C235 C167:C170" xr:uid="{C50C147E-E78E-412B-BF69-E30F1F8A8BA9}">
      <formula1>$C$2:$C$436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73F3-D6C6-409F-89E6-3A68521B76EB}">
  <dimension ref="A1:AE326"/>
  <sheetViews>
    <sheetView tabSelected="1" topLeftCell="A248" zoomScale="85" zoomScaleNormal="85" workbookViewId="0">
      <selection activeCell="C262" sqref="C262"/>
    </sheetView>
  </sheetViews>
  <sheetFormatPr baseColWidth="10" defaultRowHeight="15" x14ac:dyDescent="0.25"/>
  <cols>
    <col min="1" max="1" width="12.28515625" style="1" customWidth="1"/>
    <col min="2" max="2" width="8.7109375" style="1" customWidth="1"/>
    <col min="3" max="3" width="31.5703125" style="7" customWidth="1"/>
    <col min="4" max="4" width="14.140625" style="7" bestFit="1" customWidth="1"/>
    <col min="5" max="5" width="20.5703125" style="1" bestFit="1" customWidth="1"/>
    <col min="6" max="6" width="13.7109375" style="1" bestFit="1" customWidth="1"/>
    <col min="7" max="7" width="11.85546875" style="1" bestFit="1" customWidth="1"/>
    <col min="8" max="8" width="23" style="1" bestFit="1" customWidth="1"/>
    <col min="9" max="9" width="23.28515625" style="1" bestFit="1" customWidth="1"/>
    <col min="10" max="10" width="12.28515625" style="2" customWidth="1"/>
    <col min="11" max="11" width="12.7109375" style="1" bestFit="1" customWidth="1"/>
    <col min="12" max="12" width="13.28515625" style="2" customWidth="1"/>
    <col min="13" max="13" width="17.140625" style="1" bestFit="1" customWidth="1"/>
    <col min="14" max="15" width="17.140625" style="1" customWidth="1"/>
    <col min="16" max="16" width="13.28515625" style="1" customWidth="1"/>
    <col min="17" max="17" width="19" style="1" bestFit="1" customWidth="1"/>
    <col min="18" max="16384" width="11.42578125" style="1"/>
  </cols>
  <sheetData>
    <row r="1" spans="1:19" x14ac:dyDescent="0.25">
      <c r="A1" s="6" t="s">
        <v>0</v>
      </c>
      <c r="B1" s="6" t="s">
        <v>182</v>
      </c>
      <c r="C1" s="6" t="s">
        <v>1</v>
      </c>
      <c r="D1" s="6" t="s">
        <v>254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18</v>
      </c>
      <c r="O1" s="6" t="s">
        <v>241</v>
      </c>
      <c r="P1" s="6" t="s">
        <v>11</v>
      </c>
      <c r="Q1" s="6" t="s">
        <v>12</v>
      </c>
      <c r="R1" s="6"/>
      <c r="S1" s="6"/>
    </row>
    <row r="2" spans="1:19" x14ac:dyDescent="0.25">
      <c r="A2" s="20">
        <v>46154</v>
      </c>
      <c r="B2" s="21">
        <f>MONTH(Tabla2[[#This Row],[Fecha]])</f>
        <v>5</v>
      </c>
      <c r="C2" s="22" t="s">
        <v>89</v>
      </c>
      <c r="D2" s="23" t="str">
        <f>IFERROR(_xlfn.XLOOKUP(Tabla2[[#This Row],[Artículo]],Tabla1[Artículos],Tabla1[Rubro]),"")</f>
        <v>Embalaje</v>
      </c>
      <c r="E2" s="24" t="s">
        <v>124</v>
      </c>
      <c r="F2" s="25">
        <v>185</v>
      </c>
      <c r="G2" s="24" t="s">
        <v>150</v>
      </c>
      <c r="H2" s="26">
        <v>4528</v>
      </c>
      <c r="I2" s="27">
        <f>Tabla2[[#This Row],[Precio Unitario ARS]]/Tabla2[[#This Row],[TC BNA]]</f>
        <v>3.222775800711744</v>
      </c>
      <c r="J2" s="28">
        <v>0</v>
      </c>
      <c r="K2" s="24" t="s">
        <v>19</v>
      </c>
      <c r="L2" s="29">
        <v>0.21</v>
      </c>
      <c r="M2" s="30">
        <f>(Tabla2[[#This Row],[Precio Unitario ARS]]-(Tabla2[[#This Row],[Precio Unitario ARS]]*Tabla2[[#This Row],[DTO]]))*Tabla2[[#This Row],[Cantidad]]</f>
        <v>837680</v>
      </c>
      <c r="N2" s="31">
        <f>Tabla2[[#This Row],[Subtotal ARS]]+(Tabla2[[#This Row],[Subtotal ARS]]*Tabla2[[#This Row],[IVA]])</f>
        <v>1013592.8</v>
      </c>
      <c r="O2" s="31">
        <f>Tabla2[[#This Row],[TOTAL ARS]]/Tabla2[[#This Row],[TC BNA]]</f>
        <v>721.4183629893239</v>
      </c>
      <c r="P2" s="21">
        <f>_xlfn.XLOOKUP(A2,'TC_BNA xlsx'!A:A,'TC_BNA xlsx'!C:C,"No encontrado")</f>
        <v>1405</v>
      </c>
      <c r="Q2" s="23"/>
      <c r="R2" s="6"/>
      <c r="S2" s="6"/>
    </row>
    <row r="3" spans="1:19" x14ac:dyDescent="0.25">
      <c r="A3" s="20">
        <v>46162</v>
      </c>
      <c r="B3" s="21">
        <f>MONTH(Tabla2[[#This Row],[Fecha]])</f>
        <v>5</v>
      </c>
      <c r="C3" s="22" t="s">
        <v>158</v>
      </c>
      <c r="D3" s="23" t="str">
        <f>IFERROR(_xlfn.XLOOKUP(Tabla2[[#This Row],[Artículo]],Tabla1[Artículos],Tabla1[Rubro]),"")</f>
        <v>Librería</v>
      </c>
      <c r="E3" s="24" t="s">
        <v>160</v>
      </c>
      <c r="F3" s="25">
        <v>10</v>
      </c>
      <c r="G3" s="24" t="s">
        <v>25</v>
      </c>
      <c r="H3" s="26">
        <v>5900</v>
      </c>
      <c r="I3" s="27">
        <f>Tabla2[[#This Row],[Precio Unitario ARS]]/Tabla2[[#This Row],[TC BNA]]</f>
        <v>4.154929577464789</v>
      </c>
      <c r="J3" s="28">
        <v>0</v>
      </c>
      <c r="K3" s="24" t="s">
        <v>19</v>
      </c>
      <c r="L3" s="29">
        <v>0.21</v>
      </c>
      <c r="M3" s="30">
        <f>(Tabla2[[#This Row],[Precio Unitario ARS]]-(Tabla2[[#This Row],[Precio Unitario ARS]]*Tabla2[[#This Row],[DTO]]))*Tabla2[[#This Row],[Cantidad]]</f>
        <v>59000</v>
      </c>
      <c r="N3" s="31">
        <f>Tabla2[[#This Row],[Subtotal ARS]]+(Tabla2[[#This Row],[Subtotal ARS]]*Tabla2[[#This Row],[IVA]])</f>
        <v>71390</v>
      </c>
      <c r="O3" s="31">
        <f>Tabla2[[#This Row],[TOTAL ARS]]/Tabla2[[#This Row],[TC BNA]]</f>
        <v>50.274647887323944</v>
      </c>
      <c r="P3" s="21">
        <f>_xlfn.XLOOKUP(A3,'TC_BNA xlsx'!A:A,'TC_BNA xlsx'!C:C,"No encontrado")</f>
        <v>1420</v>
      </c>
      <c r="Q3" s="23"/>
      <c r="R3" s="6"/>
      <c r="S3" s="6"/>
    </row>
    <row r="4" spans="1:19" x14ac:dyDescent="0.25">
      <c r="A4" s="20">
        <v>46162</v>
      </c>
      <c r="B4" s="21">
        <f>MONTH(Tabla2[[#This Row],[Fecha]])</f>
        <v>5</v>
      </c>
      <c r="C4" s="22" t="s">
        <v>159</v>
      </c>
      <c r="D4" s="23" t="str">
        <f>IFERROR(_xlfn.XLOOKUP(Tabla2[[#This Row],[Artículo]],Tabla1[Artículos],Tabla1[Rubro]),"")</f>
        <v>Librería</v>
      </c>
      <c r="E4" s="24" t="s">
        <v>160</v>
      </c>
      <c r="F4" s="25">
        <v>4</v>
      </c>
      <c r="G4" s="24" t="s">
        <v>25</v>
      </c>
      <c r="H4" s="26">
        <v>15225</v>
      </c>
      <c r="I4" s="27">
        <f>Tabla2[[#This Row],[Precio Unitario ARS]]/Tabla2[[#This Row],[TC BNA]]</f>
        <v>10.721830985915492</v>
      </c>
      <c r="J4" s="28">
        <v>0.15</v>
      </c>
      <c r="K4" s="24" t="s">
        <v>19</v>
      </c>
      <c r="L4" s="29">
        <v>0.21</v>
      </c>
      <c r="M4" s="30">
        <f>(Tabla2[[#This Row],[Precio Unitario ARS]]-(Tabla2[[#This Row],[Precio Unitario ARS]]*Tabla2[[#This Row],[DTO]]))*Tabla2[[#This Row],[Cantidad]]</f>
        <v>51765</v>
      </c>
      <c r="N4" s="31">
        <f>Tabla2[[#This Row],[Subtotal ARS]]+(Tabla2[[#This Row],[Subtotal ARS]]*Tabla2[[#This Row],[IVA]])</f>
        <v>62635.65</v>
      </c>
      <c r="O4" s="31">
        <f>Tabla2[[#This Row],[TOTAL ARS]]/Tabla2[[#This Row],[TC BNA]]</f>
        <v>44.109612676056337</v>
      </c>
      <c r="P4" s="21">
        <f>_xlfn.XLOOKUP(A4,'TC_BNA xlsx'!A:A,'TC_BNA xlsx'!C:C,"No encontrado")</f>
        <v>1420</v>
      </c>
      <c r="Q4" s="23"/>
      <c r="R4" s="6"/>
      <c r="S4" s="6"/>
    </row>
    <row r="5" spans="1:19" x14ac:dyDescent="0.25">
      <c r="A5" s="20">
        <v>46163</v>
      </c>
      <c r="B5" s="21">
        <f>MONTH(Tabla2[[#This Row],[Fecha]])</f>
        <v>5</v>
      </c>
      <c r="C5" s="22" t="s">
        <v>148</v>
      </c>
      <c r="D5" s="23" t="str">
        <f>IFERROR(_xlfn.XLOOKUP(Tabla2[[#This Row],[Artículo]],Tabla1[Artículos],Tabla1[Rubro]),"")</f>
        <v>Reventa</v>
      </c>
      <c r="E5" s="24" t="s">
        <v>166</v>
      </c>
      <c r="F5" s="25">
        <v>100800</v>
      </c>
      <c r="G5" s="24" t="s">
        <v>25</v>
      </c>
      <c r="H5" s="26">
        <v>18.783760000000001</v>
      </c>
      <c r="I5" s="27">
        <f>Tabla2[[#This Row],[Precio Unitario ARS]]/Tabla2[[#This Row],[TC BNA]]</f>
        <v>1.332181560283688E-2</v>
      </c>
      <c r="J5" s="28">
        <v>0.15379999999999999</v>
      </c>
      <c r="K5" s="24" t="s">
        <v>19</v>
      </c>
      <c r="L5" s="29">
        <v>0.21</v>
      </c>
      <c r="M5" s="30">
        <f>(Tabla2[[#This Row],[Precio Unitario ARS]]-(Tabla2[[#This Row],[Precio Unitario ARS]]*Tabla2[[#This Row],[DTO]]))*Tabla2[[#This Row],[Cantidad]]</f>
        <v>1602197.6253696003</v>
      </c>
      <c r="N5" s="31">
        <f>Tabla2[[#This Row],[Subtotal ARS]]+(Tabla2[[#This Row],[Subtotal ARS]]*Tabla2[[#This Row],[IVA]])</f>
        <v>1938659.1266972162</v>
      </c>
      <c r="O5" s="31">
        <f>Tabla2[[#This Row],[TOTAL ARS]]/Tabla2[[#This Row],[TC BNA]]</f>
        <v>1374.9355508490894</v>
      </c>
      <c r="P5" s="21">
        <f>_xlfn.XLOOKUP(A5,'TC_BNA xlsx'!A:A,'TC_BNA xlsx'!C:C,"No encontrado")</f>
        <v>1410</v>
      </c>
      <c r="Q5" s="23"/>
      <c r="R5" s="6"/>
      <c r="S5" s="6"/>
    </row>
    <row r="6" spans="1:19" x14ac:dyDescent="0.25">
      <c r="A6" s="20">
        <v>46163</v>
      </c>
      <c r="B6" s="21">
        <f>MONTH(Tabla2[[#This Row],[Fecha]])</f>
        <v>5</v>
      </c>
      <c r="C6" s="22" t="s">
        <v>165</v>
      </c>
      <c r="D6" s="23" t="str">
        <f>IFERROR(_xlfn.XLOOKUP(Tabla2[[#This Row],[Artículo]],Tabla1[Artículos],Tabla1[Rubro]),"")</f>
        <v>Reventa</v>
      </c>
      <c r="E6" s="24" t="s">
        <v>166</v>
      </c>
      <c r="F6" s="25">
        <v>30800</v>
      </c>
      <c r="G6" s="24" t="s">
        <v>25</v>
      </c>
      <c r="H6" s="26">
        <v>38.913679999999999</v>
      </c>
      <c r="I6" s="27">
        <f>Tabla2[[#This Row],[Precio Unitario ARS]]/Tabla2[[#This Row],[TC BNA]]</f>
        <v>2.7598354609929078E-2</v>
      </c>
      <c r="J6" s="28">
        <v>0.15379999999999999</v>
      </c>
      <c r="K6" s="24" t="s">
        <v>19</v>
      </c>
      <c r="L6" s="29">
        <v>0.21</v>
      </c>
      <c r="M6" s="30">
        <f>(Tabla2[[#This Row],[Precio Unitario ARS]]-(Tabla2[[#This Row],[Precio Unitario ARS]]*Tabla2[[#This Row],[DTO]]))*Tabla2[[#This Row],[Cantidad]]</f>
        <v>1014205.6852928001</v>
      </c>
      <c r="N6" s="31">
        <f>Tabla2[[#This Row],[Subtotal ARS]]+(Tabla2[[#This Row],[Subtotal ARS]]*Tabla2[[#This Row],[IVA]])</f>
        <v>1227188.8792042881</v>
      </c>
      <c r="O6" s="31">
        <f>Tabla2[[#This Row],[TOTAL ARS]]/Tabla2[[#This Row],[TC BNA]]</f>
        <v>870.34672283992063</v>
      </c>
      <c r="P6" s="21">
        <f>_xlfn.XLOOKUP(A6,'TC_BNA xlsx'!A:A,'TC_BNA xlsx'!C:C,"No encontrado")</f>
        <v>1410</v>
      </c>
      <c r="Q6" s="23"/>
      <c r="R6" s="6"/>
      <c r="S6" s="6"/>
    </row>
    <row r="7" spans="1:19" x14ac:dyDescent="0.25">
      <c r="A7" s="20">
        <v>46163</v>
      </c>
      <c r="B7" s="21">
        <f>MONTH(Tabla2[[#This Row],[Fecha]])</f>
        <v>5</v>
      </c>
      <c r="C7" s="22" t="s">
        <v>93</v>
      </c>
      <c r="D7" s="23" t="str">
        <f>IFERROR(_xlfn.XLOOKUP(Tabla2[[#This Row],[Artículo]],Tabla1[Artículos],Tabla1[Rubro]),"")</f>
        <v>Soldadura</v>
      </c>
      <c r="E7" s="24" t="s">
        <v>121</v>
      </c>
      <c r="F7" s="25">
        <v>30</v>
      </c>
      <c r="G7" s="24" t="s">
        <v>156</v>
      </c>
      <c r="H7" s="26">
        <v>17500</v>
      </c>
      <c r="I7" s="27">
        <f>Tabla2[[#This Row],[Precio Unitario ARS]]/Tabla2[[#This Row],[TC BNA]]</f>
        <v>12.411347517730496</v>
      </c>
      <c r="J7" s="28">
        <v>0</v>
      </c>
      <c r="K7" s="24" t="s">
        <v>19</v>
      </c>
      <c r="L7" s="29"/>
      <c r="M7" s="30">
        <f>(Tabla2[[#This Row],[Precio Unitario ARS]]-(Tabla2[[#This Row],[Precio Unitario ARS]]*Tabla2[[#This Row],[DTO]]))*Tabla2[[#This Row],[Cantidad]]</f>
        <v>525000</v>
      </c>
      <c r="N7" s="31">
        <f>Tabla2[[#This Row],[Subtotal ARS]]+(Tabla2[[#This Row],[Subtotal ARS]]*Tabla2[[#This Row],[IVA]])</f>
        <v>525000</v>
      </c>
      <c r="O7" s="31">
        <f>Tabla2[[#This Row],[TOTAL ARS]]/Tabla2[[#This Row],[TC BNA]]</f>
        <v>372.34042553191489</v>
      </c>
      <c r="P7" s="21">
        <f>_xlfn.XLOOKUP(A7,'TC_BNA xlsx'!A:A,'TC_BNA xlsx'!C:C,"No encontrado")</f>
        <v>1410</v>
      </c>
      <c r="Q7" s="23"/>
      <c r="R7" s="6"/>
      <c r="S7" s="6"/>
    </row>
    <row r="8" spans="1:19" x14ac:dyDescent="0.25">
      <c r="A8" s="20">
        <v>46163</v>
      </c>
      <c r="B8" s="21">
        <f>MONTH(Tabla2[[#This Row],[Fecha]])</f>
        <v>5</v>
      </c>
      <c r="C8" s="22" t="s">
        <v>81</v>
      </c>
      <c r="D8" s="23" t="str">
        <f>IFERROR(_xlfn.XLOOKUP(Tabla2[[#This Row],[Artículo]],Tabla1[Artículos],Tabla1[Rubro]),"")</f>
        <v>Soldadura</v>
      </c>
      <c r="E8" s="24" t="s">
        <v>121</v>
      </c>
      <c r="F8" s="25">
        <v>1</v>
      </c>
      <c r="G8" s="24" t="s">
        <v>164</v>
      </c>
      <c r="H8" s="26">
        <v>80000</v>
      </c>
      <c r="I8" s="27">
        <f>Tabla2[[#This Row],[Precio Unitario ARS]]/Tabla2[[#This Row],[TC BNA]]</f>
        <v>56.737588652482266</v>
      </c>
      <c r="J8" s="28">
        <v>0</v>
      </c>
      <c r="K8" s="24" t="s">
        <v>19</v>
      </c>
      <c r="L8" s="29"/>
      <c r="M8" s="30">
        <f>(Tabla2[[#This Row],[Precio Unitario ARS]]-(Tabla2[[#This Row],[Precio Unitario ARS]]*Tabla2[[#This Row],[DTO]]))*Tabla2[[#This Row],[Cantidad]]</f>
        <v>80000</v>
      </c>
      <c r="N8" s="31">
        <f>Tabla2[[#This Row],[Subtotal ARS]]+(Tabla2[[#This Row],[Subtotal ARS]]*Tabla2[[#This Row],[IVA]])</f>
        <v>80000</v>
      </c>
      <c r="O8" s="31">
        <f>Tabla2[[#This Row],[TOTAL ARS]]/Tabla2[[#This Row],[TC BNA]]</f>
        <v>56.737588652482266</v>
      </c>
      <c r="P8" s="21">
        <f>_xlfn.XLOOKUP(A8,'TC_BNA xlsx'!A:A,'TC_BNA xlsx'!C:C,"No encontrado")</f>
        <v>1410</v>
      </c>
      <c r="Q8" s="23"/>
      <c r="R8" s="6"/>
      <c r="S8" s="6"/>
    </row>
    <row r="9" spans="1:19" x14ac:dyDescent="0.25">
      <c r="A9" s="20">
        <v>46164</v>
      </c>
      <c r="B9" s="21">
        <f>MONTH(Tabla2[[#This Row],[Fecha]])</f>
        <v>5</v>
      </c>
      <c r="C9" s="22" t="s">
        <v>190</v>
      </c>
      <c r="D9" s="23" t="str">
        <f>IFERROR(_xlfn.XLOOKUP(Tabla2[[#This Row],[Artículo]],Tabla1[Artículos],Tabla1[Rubro]),"")</f>
        <v>Limpieza</v>
      </c>
      <c r="E9" s="24" t="s">
        <v>167</v>
      </c>
      <c r="F9" s="25">
        <v>8</v>
      </c>
      <c r="G9" s="24" t="s">
        <v>17</v>
      </c>
      <c r="H9" s="26">
        <v>7300</v>
      </c>
      <c r="I9" s="27">
        <f>Tabla2[[#This Row],[Precio Unitario ARS]]/Tabla2[[#This Row],[TC BNA]]</f>
        <v>5.1228070175438596</v>
      </c>
      <c r="J9" s="28">
        <v>0</v>
      </c>
      <c r="K9" s="24" t="s">
        <v>19</v>
      </c>
      <c r="L9" s="29"/>
      <c r="M9" s="30">
        <f>(Tabla2[[#This Row],[Precio Unitario ARS]]-(Tabla2[[#This Row],[Precio Unitario ARS]]*Tabla2[[#This Row],[DTO]]))*Tabla2[[#This Row],[Cantidad]]</f>
        <v>58400</v>
      </c>
      <c r="N9" s="31">
        <f>Tabla2[[#This Row],[Subtotal ARS]]+(Tabla2[[#This Row],[Subtotal ARS]]*Tabla2[[#This Row],[IVA]])</f>
        <v>58400</v>
      </c>
      <c r="O9" s="31">
        <f>Tabla2[[#This Row],[TOTAL ARS]]/Tabla2[[#This Row],[TC BNA]]</f>
        <v>40.982456140350877</v>
      </c>
      <c r="P9" s="21">
        <f>_xlfn.XLOOKUP(A9,'TC_BNA xlsx'!A:A,'TC_BNA xlsx'!C:C,"No encontrado")</f>
        <v>1425</v>
      </c>
      <c r="Q9" s="23"/>
      <c r="R9" s="6"/>
      <c r="S9" s="6"/>
    </row>
    <row r="10" spans="1:19" x14ac:dyDescent="0.25">
      <c r="A10" s="20">
        <v>46164</v>
      </c>
      <c r="B10" s="21">
        <f>MONTH(Tabla2[[#This Row],[Fecha]])</f>
        <v>5</v>
      </c>
      <c r="C10" s="22" t="s">
        <v>194</v>
      </c>
      <c r="D10" s="23" t="str">
        <f>IFERROR(_xlfn.XLOOKUP(Tabla2[[#This Row],[Artículo]],Tabla1[Artículos],Tabla1[Rubro]),"")</f>
        <v>Limpieza</v>
      </c>
      <c r="E10" s="24" t="s">
        <v>167</v>
      </c>
      <c r="F10" s="25">
        <v>7</v>
      </c>
      <c r="G10" s="24" t="s">
        <v>17</v>
      </c>
      <c r="H10" s="26">
        <v>9900</v>
      </c>
      <c r="I10" s="27">
        <f>Tabla2[[#This Row],[Precio Unitario ARS]]/Tabla2[[#This Row],[TC BNA]]</f>
        <v>6.9473684210526319</v>
      </c>
      <c r="J10" s="28">
        <v>0</v>
      </c>
      <c r="K10" s="24" t="s">
        <v>19</v>
      </c>
      <c r="L10" s="29"/>
      <c r="M10" s="30">
        <f>(Tabla2[[#This Row],[Precio Unitario ARS]]-(Tabla2[[#This Row],[Precio Unitario ARS]]*Tabla2[[#This Row],[DTO]]))*Tabla2[[#This Row],[Cantidad]]</f>
        <v>69300</v>
      </c>
      <c r="N10" s="31">
        <f>Tabla2[[#This Row],[Subtotal ARS]]+(Tabla2[[#This Row],[Subtotal ARS]]*Tabla2[[#This Row],[IVA]])</f>
        <v>69300</v>
      </c>
      <c r="O10" s="31">
        <f>Tabla2[[#This Row],[TOTAL ARS]]/Tabla2[[#This Row],[TC BNA]]</f>
        <v>48.631578947368418</v>
      </c>
      <c r="P10" s="21">
        <f>_xlfn.XLOOKUP(A10,'TC_BNA xlsx'!A:A,'TC_BNA xlsx'!C:C,"No encontrado")</f>
        <v>1425</v>
      </c>
      <c r="Q10" s="23"/>
      <c r="R10" s="6"/>
      <c r="S10" s="6"/>
    </row>
    <row r="11" spans="1:19" x14ac:dyDescent="0.25">
      <c r="A11" s="20">
        <v>46164</v>
      </c>
      <c r="B11" s="21">
        <f>MONTH(Tabla2[[#This Row],[Fecha]])</f>
        <v>5</v>
      </c>
      <c r="C11" s="22" t="s">
        <v>76</v>
      </c>
      <c r="D11" s="23" t="str">
        <f>IFERROR(_xlfn.XLOOKUP(Tabla2[[#This Row],[Artículo]],Tabla1[Artículos],Tabla1[Rubro]),"")</f>
        <v>EPP</v>
      </c>
      <c r="E11" s="24" t="s">
        <v>22</v>
      </c>
      <c r="F11" s="25">
        <v>24</v>
      </c>
      <c r="G11" s="24" t="s">
        <v>23</v>
      </c>
      <c r="H11" s="26">
        <v>600</v>
      </c>
      <c r="I11" s="27">
        <f>Tabla2[[#This Row],[Precio Unitario ARS]]/Tabla2[[#This Row],[TC BNA]]</f>
        <v>0.42105263157894735</v>
      </c>
      <c r="J11" s="28">
        <v>0</v>
      </c>
      <c r="K11" s="24" t="s">
        <v>19</v>
      </c>
      <c r="L11" s="29">
        <v>0.21</v>
      </c>
      <c r="M11" s="30">
        <f>(Tabla2[[#This Row],[Precio Unitario ARS]]-(Tabla2[[#This Row],[Precio Unitario ARS]]*Tabla2[[#This Row],[DTO]]))*Tabla2[[#This Row],[Cantidad]]</f>
        <v>14400</v>
      </c>
      <c r="N11" s="31">
        <f>Tabla2[[#This Row],[Subtotal ARS]]+(Tabla2[[#This Row],[Subtotal ARS]]*Tabla2[[#This Row],[IVA]])</f>
        <v>17424</v>
      </c>
      <c r="O11" s="31">
        <f>Tabla2[[#This Row],[TOTAL ARS]]/Tabla2[[#This Row],[TC BNA]]</f>
        <v>12.227368421052631</v>
      </c>
      <c r="P11" s="21">
        <f>_xlfn.XLOOKUP(A11,'TC_BNA xlsx'!A:A,'TC_BNA xlsx'!C:C,"No encontrado")</f>
        <v>1425</v>
      </c>
      <c r="Q11" s="23"/>
      <c r="R11" s="6"/>
      <c r="S11" s="6"/>
    </row>
    <row r="12" spans="1:19" x14ac:dyDescent="0.25">
      <c r="A12" s="20">
        <v>46164</v>
      </c>
      <c r="B12" s="21">
        <f>MONTH(Tabla2[[#This Row],[Fecha]])</f>
        <v>5</v>
      </c>
      <c r="C12" s="22" t="s">
        <v>77</v>
      </c>
      <c r="D12" s="23" t="str">
        <f>IFERROR(_xlfn.XLOOKUP(Tabla2[[#This Row],[Artículo]],Tabla1[Artículos],Tabla1[Rubro]),"")</f>
        <v>EPP</v>
      </c>
      <c r="E12" s="24" t="s">
        <v>22</v>
      </c>
      <c r="F12" s="25">
        <v>24</v>
      </c>
      <c r="G12" s="24" t="s">
        <v>23</v>
      </c>
      <c r="H12" s="26">
        <v>600</v>
      </c>
      <c r="I12" s="27">
        <f>Tabla2[[#This Row],[Precio Unitario ARS]]/Tabla2[[#This Row],[TC BNA]]</f>
        <v>0.42105263157894735</v>
      </c>
      <c r="J12" s="28">
        <v>0</v>
      </c>
      <c r="K12" s="24" t="s">
        <v>19</v>
      </c>
      <c r="L12" s="29">
        <v>0.21</v>
      </c>
      <c r="M12" s="30">
        <f>(Tabla2[[#This Row],[Precio Unitario ARS]]-(Tabla2[[#This Row],[Precio Unitario ARS]]*Tabla2[[#This Row],[DTO]]))*Tabla2[[#This Row],[Cantidad]]</f>
        <v>14400</v>
      </c>
      <c r="N12" s="31">
        <f>Tabla2[[#This Row],[Subtotal ARS]]+(Tabla2[[#This Row],[Subtotal ARS]]*Tabla2[[#This Row],[IVA]])</f>
        <v>17424</v>
      </c>
      <c r="O12" s="31">
        <f>Tabla2[[#This Row],[TOTAL ARS]]/Tabla2[[#This Row],[TC BNA]]</f>
        <v>12.227368421052631</v>
      </c>
      <c r="P12" s="21">
        <f>_xlfn.XLOOKUP(A12,'TC_BNA xlsx'!A:A,'TC_BNA xlsx'!C:C,"No encontrado")</f>
        <v>1425</v>
      </c>
      <c r="Q12" s="23"/>
      <c r="R12" s="6"/>
      <c r="S12" s="6"/>
    </row>
    <row r="13" spans="1:19" x14ac:dyDescent="0.25">
      <c r="A13" s="20">
        <v>46164</v>
      </c>
      <c r="B13" s="21">
        <f>MONTH(Tabla2[[#This Row],[Fecha]])</f>
        <v>5</v>
      </c>
      <c r="C13" s="22" t="s">
        <v>75</v>
      </c>
      <c r="D13" s="23" t="str">
        <f>IFERROR(_xlfn.XLOOKUP(Tabla2[[#This Row],[Artículo]],Tabla1[Artículos],Tabla1[Rubro]),"")</f>
        <v>EPP</v>
      </c>
      <c r="E13" s="24" t="s">
        <v>22</v>
      </c>
      <c r="F13" s="25">
        <v>12</v>
      </c>
      <c r="G13" s="24" t="s">
        <v>23</v>
      </c>
      <c r="H13" s="26">
        <v>4295</v>
      </c>
      <c r="I13" s="27">
        <f>Tabla2[[#This Row],[Precio Unitario ARS]]/Tabla2[[#This Row],[TC BNA]]</f>
        <v>3.0140350877192983</v>
      </c>
      <c r="J13" s="28">
        <v>0</v>
      </c>
      <c r="K13" s="24" t="s">
        <v>19</v>
      </c>
      <c r="L13" s="29">
        <v>0.21</v>
      </c>
      <c r="M13" s="30">
        <f>(Tabla2[[#This Row],[Precio Unitario ARS]]-(Tabla2[[#This Row],[Precio Unitario ARS]]*Tabla2[[#This Row],[DTO]]))*Tabla2[[#This Row],[Cantidad]]</f>
        <v>51540</v>
      </c>
      <c r="N13" s="31">
        <f>Tabla2[[#This Row],[Subtotal ARS]]+(Tabla2[[#This Row],[Subtotal ARS]]*Tabla2[[#This Row],[IVA]])</f>
        <v>62363.4</v>
      </c>
      <c r="O13" s="31">
        <f>Tabla2[[#This Row],[TOTAL ARS]]/Tabla2[[#This Row],[TC BNA]]</f>
        <v>43.763789473684213</v>
      </c>
      <c r="P13" s="21">
        <f>_xlfn.XLOOKUP(A13,'TC_BNA xlsx'!A:A,'TC_BNA xlsx'!C:C,"No encontrado")</f>
        <v>1425</v>
      </c>
      <c r="Q13" s="23"/>
      <c r="R13" s="6"/>
      <c r="S13" s="6"/>
    </row>
    <row r="14" spans="1:19" x14ac:dyDescent="0.25">
      <c r="A14" s="20">
        <v>46168</v>
      </c>
      <c r="B14" s="21">
        <f>MONTH(Tabla2[[#This Row],[Fecha]])</f>
        <v>5</v>
      </c>
      <c r="C14" s="22" t="s">
        <v>140</v>
      </c>
      <c r="D14" s="23" t="str">
        <f>IFERROR(_xlfn.XLOOKUP(Tabla2[[#This Row],[Artículo]],Tabla1[Artículos],Tabla1[Rubro]),"")</f>
        <v>Reventa</v>
      </c>
      <c r="E14" s="24" t="s">
        <v>149</v>
      </c>
      <c r="F14" s="25">
        <v>63.5</v>
      </c>
      <c r="G14" s="24" t="s">
        <v>150</v>
      </c>
      <c r="H14" s="26">
        <v>4800</v>
      </c>
      <c r="I14" s="27">
        <f>Tabla2[[#This Row],[Precio Unitario ARS]]/Tabla2[[#This Row],[TC BNA]]</f>
        <v>3.3566433566433567</v>
      </c>
      <c r="J14" s="28">
        <v>0</v>
      </c>
      <c r="K14" s="24" t="s">
        <v>19</v>
      </c>
      <c r="L14" s="29">
        <v>0.21</v>
      </c>
      <c r="M14" s="30">
        <f>(Tabla2[[#This Row],[Precio Unitario ARS]]-(Tabla2[[#This Row],[Precio Unitario ARS]]*Tabla2[[#This Row],[DTO]]))*Tabla2[[#This Row],[Cantidad]]</f>
        <v>304800</v>
      </c>
      <c r="N14" s="31">
        <f>Tabla2[[#This Row],[Subtotal ARS]]+(Tabla2[[#This Row],[Subtotal ARS]]*Tabla2[[#This Row],[IVA]])</f>
        <v>368808</v>
      </c>
      <c r="O14" s="31">
        <f>Tabla2[[#This Row],[TOTAL ARS]]/Tabla2[[#This Row],[TC BNA]]</f>
        <v>257.90769230769229</v>
      </c>
      <c r="P14" s="21">
        <f>_xlfn.XLOOKUP(A14,'TC_BNA xlsx'!A:A,'TC_BNA xlsx'!C:C,"No encontrado")</f>
        <v>1430</v>
      </c>
      <c r="Q14" s="23"/>
      <c r="R14" s="6"/>
      <c r="S14" s="6"/>
    </row>
    <row r="15" spans="1:19" x14ac:dyDescent="0.25">
      <c r="A15" s="20">
        <v>46168</v>
      </c>
      <c r="B15" s="21">
        <f>MONTH(Tabla2[[#This Row],[Fecha]])</f>
        <v>5</v>
      </c>
      <c r="C15" s="22" t="s">
        <v>168</v>
      </c>
      <c r="D15" s="23" t="str">
        <f>IFERROR(_xlfn.XLOOKUP(Tabla2[[#This Row],[Artículo]],Tabla1[Artículos],Tabla1[Rubro]),"")</f>
        <v>Reventa</v>
      </c>
      <c r="E15" s="24" t="s">
        <v>149</v>
      </c>
      <c r="F15" s="25">
        <v>50</v>
      </c>
      <c r="G15" s="24" t="s">
        <v>150</v>
      </c>
      <c r="H15" s="26">
        <v>4185</v>
      </c>
      <c r="I15" s="27">
        <f>Tabla2[[#This Row],[Precio Unitario ARS]]/Tabla2[[#This Row],[TC BNA]]</f>
        <v>2.9265734265734267</v>
      </c>
      <c r="J15" s="28">
        <v>0</v>
      </c>
      <c r="K15" s="24" t="s">
        <v>19</v>
      </c>
      <c r="L15" s="29">
        <v>0.21</v>
      </c>
      <c r="M15" s="30">
        <f>(Tabla2[[#This Row],[Precio Unitario ARS]]-(Tabla2[[#This Row],[Precio Unitario ARS]]*Tabla2[[#This Row],[DTO]]))*Tabla2[[#This Row],[Cantidad]]</f>
        <v>209250</v>
      </c>
      <c r="N15" s="31">
        <f>Tabla2[[#This Row],[Subtotal ARS]]+(Tabla2[[#This Row],[Subtotal ARS]]*Tabla2[[#This Row],[IVA]])</f>
        <v>253192.5</v>
      </c>
      <c r="O15" s="31">
        <f>Tabla2[[#This Row],[TOTAL ARS]]/Tabla2[[#This Row],[TC BNA]]</f>
        <v>177.05769230769232</v>
      </c>
      <c r="P15" s="21">
        <f>_xlfn.XLOOKUP(A15,'TC_BNA xlsx'!A:A,'TC_BNA xlsx'!C:C,"No encontrado")</f>
        <v>1430</v>
      </c>
      <c r="Q15" s="23"/>
      <c r="R15" s="6"/>
      <c r="S15" s="6"/>
    </row>
    <row r="16" spans="1:19" x14ac:dyDescent="0.25">
      <c r="A16" s="20">
        <v>46168</v>
      </c>
      <c r="B16" s="21">
        <f>MONTH(Tabla2[[#This Row],[Fecha]])</f>
        <v>5</v>
      </c>
      <c r="C16" s="22" t="s">
        <v>141</v>
      </c>
      <c r="D16" s="23" t="str">
        <f>IFERROR(_xlfn.XLOOKUP(Tabla2[[#This Row],[Artículo]],Tabla1[Artículos],Tabla1[Rubro]),"")</f>
        <v>Reventa</v>
      </c>
      <c r="E16" s="24" t="s">
        <v>149</v>
      </c>
      <c r="F16" s="25">
        <v>35</v>
      </c>
      <c r="G16" s="24" t="s">
        <v>150</v>
      </c>
      <c r="H16" s="26">
        <v>4890</v>
      </c>
      <c r="I16" s="27">
        <f>Tabla2[[#This Row],[Precio Unitario ARS]]/Tabla2[[#This Row],[TC BNA]]</f>
        <v>3.4195804195804196</v>
      </c>
      <c r="J16" s="28">
        <v>0</v>
      </c>
      <c r="K16" s="24" t="s">
        <v>19</v>
      </c>
      <c r="L16" s="29">
        <v>0.21</v>
      </c>
      <c r="M16" s="30">
        <f>(Tabla2[[#This Row],[Precio Unitario ARS]]-(Tabla2[[#This Row],[Precio Unitario ARS]]*Tabla2[[#This Row],[DTO]]))*Tabla2[[#This Row],[Cantidad]]</f>
        <v>171150</v>
      </c>
      <c r="N16" s="31">
        <f>Tabla2[[#This Row],[Subtotal ARS]]+(Tabla2[[#This Row],[Subtotal ARS]]*Tabla2[[#This Row],[IVA]])</f>
        <v>207091.5</v>
      </c>
      <c r="O16" s="31">
        <f>Tabla2[[#This Row],[TOTAL ARS]]/Tabla2[[#This Row],[TC BNA]]</f>
        <v>144.81923076923076</v>
      </c>
      <c r="P16" s="21">
        <f>_xlfn.XLOOKUP(A16,'TC_BNA xlsx'!A:A,'TC_BNA xlsx'!C:C,"No encontrado")</f>
        <v>1430</v>
      </c>
      <c r="Q16" s="23"/>
      <c r="R16" s="6"/>
      <c r="S16" s="6"/>
    </row>
    <row r="17" spans="1:31" x14ac:dyDescent="0.25">
      <c r="A17" s="20">
        <v>46168</v>
      </c>
      <c r="B17" s="21">
        <f>MONTH(Tabla2[[#This Row],[Fecha]])</f>
        <v>5</v>
      </c>
      <c r="C17" s="22" t="s">
        <v>142</v>
      </c>
      <c r="D17" s="23" t="str">
        <f>IFERROR(_xlfn.XLOOKUP(Tabla2[[#This Row],[Artículo]],Tabla1[Artículos],Tabla1[Rubro]),"")</f>
        <v>Reventa</v>
      </c>
      <c r="E17" s="24" t="s">
        <v>149</v>
      </c>
      <c r="F17" s="25">
        <v>10000</v>
      </c>
      <c r="G17" s="24" t="s">
        <v>25</v>
      </c>
      <c r="H17" s="26">
        <v>29.2</v>
      </c>
      <c r="I17" s="27">
        <f>Tabla2[[#This Row],[Precio Unitario ARS]]/Tabla2[[#This Row],[TC BNA]]</f>
        <v>2.0419580419580419E-2</v>
      </c>
      <c r="J17" s="28">
        <v>0</v>
      </c>
      <c r="K17" s="24" t="s">
        <v>19</v>
      </c>
      <c r="L17" s="29">
        <v>0.21</v>
      </c>
      <c r="M17" s="30">
        <f>(Tabla2[[#This Row],[Precio Unitario ARS]]-(Tabla2[[#This Row],[Precio Unitario ARS]]*Tabla2[[#This Row],[DTO]]))*Tabla2[[#This Row],[Cantidad]]</f>
        <v>292000</v>
      </c>
      <c r="N17" s="31">
        <f>Tabla2[[#This Row],[Subtotal ARS]]+(Tabla2[[#This Row],[Subtotal ARS]]*Tabla2[[#This Row],[IVA]])</f>
        <v>353320</v>
      </c>
      <c r="O17" s="31">
        <f>Tabla2[[#This Row],[TOTAL ARS]]/Tabla2[[#This Row],[TC BNA]]</f>
        <v>247.07692307692307</v>
      </c>
      <c r="P17" s="21">
        <f>_xlfn.XLOOKUP(A17,'TC_BNA xlsx'!A:A,'TC_BNA xlsx'!C:C,"No encontrado")</f>
        <v>1430</v>
      </c>
      <c r="Q17" s="23"/>
      <c r="R17" s="6"/>
      <c r="S17" s="6"/>
    </row>
    <row r="18" spans="1:31" x14ac:dyDescent="0.25">
      <c r="A18" s="20">
        <v>46168</v>
      </c>
      <c r="B18" s="21">
        <f>MONTH(Tabla2[[#This Row],[Fecha]])</f>
        <v>5</v>
      </c>
      <c r="C18" s="22" t="s">
        <v>147</v>
      </c>
      <c r="D18" s="23" t="str">
        <f>IFERROR(_xlfn.XLOOKUP(Tabla2[[#This Row],[Artículo]],Tabla1[Artículos],Tabla1[Rubro]),"")</f>
        <v>Reventa</v>
      </c>
      <c r="E18" s="24" t="s">
        <v>149</v>
      </c>
      <c r="F18" s="25">
        <v>60000</v>
      </c>
      <c r="G18" s="24" t="s">
        <v>25</v>
      </c>
      <c r="H18" s="26">
        <v>27.97</v>
      </c>
      <c r="I18" s="27">
        <f>Tabla2[[#This Row],[Precio Unitario ARS]]/Tabla2[[#This Row],[TC BNA]]</f>
        <v>1.9559440559440557E-2</v>
      </c>
      <c r="J18" s="28">
        <v>0</v>
      </c>
      <c r="K18" s="24" t="s">
        <v>19</v>
      </c>
      <c r="L18" s="29">
        <v>0.21</v>
      </c>
      <c r="M18" s="30">
        <f>(Tabla2[[#This Row],[Precio Unitario ARS]]-(Tabla2[[#This Row],[Precio Unitario ARS]]*Tabla2[[#This Row],[DTO]]))*Tabla2[[#This Row],[Cantidad]]</f>
        <v>1678200</v>
      </c>
      <c r="N18" s="31">
        <f>Tabla2[[#This Row],[Subtotal ARS]]+(Tabla2[[#This Row],[Subtotal ARS]]*Tabla2[[#This Row],[IVA]])</f>
        <v>2030622</v>
      </c>
      <c r="O18" s="31">
        <f>Tabla2[[#This Row],[TOTAL ARS]]/Tabla2[[#This Row],[TC BNA]]</f>
        <v>1420.0153846153846</v>
      </c>
      <c r="P18" s="21">
        <f>_xlfn.XLOOKUP(A18,'TC_BNA xlsx'!A:A,'TC_BNA xlsx'!C:C,"No encontrado")</f>
        <v>1430</v>
      </c>
      <c r="Q18" s="23"/>
      <c r="R18" s="6"/>
      <c r="S18" s="6"/>
    </row>
    <row r="19" spans="1:31" x14ac:dyDescent="0.25">
      <c r="A19" s="20">
        <v>46168</v>
      </c>
      <c r="B19" s="21">
        <f>MONTH(Tabla2[[#This Row],[Fecha]])</f>
        <v>5</v>
      </c>
      <c r="C19" s="22" t="s">
        <v>169</v>
      </c>
      <c r="D19" s="23" t="str">
        <f>IFERROR(_xlfn.XLOOKUP(Tabla2[[#This Row],[Artículo]],Tabla1[Artículos],Tabla1[Rubro]),"")</f>
        <v>Reventa</v>
      </c>
      <c r="E19" s="24" t="s">
        <v>149</v>
      </c>
      <c r="F19" s="25">
        <v>20000</v>
      </c>
      <c r="G19" s="24" t="s">
        <v>25</v>
      </c>
      <c r="H19" s="26">
        <v>12.5</v>
      </c>
      <c r="I19" s="27">
        <f>Tabla2[[#This Row],[Precio Unitario ARS]]/Tabla2[[#This Row],[TC BNA]]</f>
        <v>8.7412587412587419E-3</v>
      </c>
      <c r="J19" s="28">
        <v>0</v>
      </c>
      <c r="K19" s="24" t="s">
        <v>19</v>
      </c>
      <c r="L19" s="29">
        <v>0.21</v>
      </c>
      <c r="M19" s="30">
        <f>(Tabla2[[#This Row],[Precio Unitario ARS]]-(Tabla2[[#This Row],[Precio Unitario ARS]]*Tabla2[[#This Row],[DTO]]))*Tabla2[[#This Row],[Cantidad]]</f>
        <v>250000</v>
      </c>
      <c r="N19" s="31">
        <f>Tabla2[[#This Row],[Subtotal ARS]]+(Tabla2[[#This Row],[Subtotal ARS]]*Tabla2[[#This Row],[IVA]])</f>
        <v>302500</v>
      </c>
      <c r="O19" s="31">
        <f>Tabla2[[#This Row],[TOTAL ARS]]/Tabla2[[#This Row],[TC BNA]]</f>
        <v>211.53846153846155</v>
      </c>
      <c r="P19" s="21">
        <f>_xlfn.XLOOKUP(A19,'TC_BNA xlsx'!A:A,'TC_BNA xlsx'!C:C,"No encontrado")</f>
        <v>1430</v>
      </c>
      <c r="Q19" s="23"/>
      <c r="R19" s="6"/>
      <c r="S19" s="6"/>
    </row>
    <row r="20" spans="1:31" x14ac:dyDescent="0.25">
      <c r="A20" s="20">
        <v>46168</v>
      </c>
      <c r="B20" s="21">
        <f>MONTH(Tabla2[[#This Row],[Fecha]])</f>
        <v>5</v>
      </c>
      <c r="C20" s="22" t="s">
        <v>170</v>
      </c>
      <c r="D20" s="23" t="str">
        <f>IFERROR(_xlfn.XLOOKUP(Tabla2[[#This Row],[Artículo]],Tabla1[Artículos],Tabla1[Rubro]),"")</f>
        <v>Reventa</v>
      </c>
      <c r="E20" s="24" t="s">
        <v>149</v>
      </c>
      <c r="F20" s="25">
        <v>6800</v>
      </c>
      <c r="G20" s="24" t="s">
        <v>25</v>
      </c>
      <c r="H20" s="26">
        <v>26</v>
      </c>
      <c r="I20" s="27">
        <f>Tabla2[[#This Row],[Precio Unitario ARS]]/Tabla2[[#This Row],[TC BNA]]</f>
        <v>1.8181818181818181E-2</v>
      </c>
      <c r="J20" s="28">
        <v>0</v>
      </c>
      <c r="K20" s="24" t="s">
        <v>19</v>
      </c>
      <c r="L20" s="29">
        <v>0.21</v>
      </c>
      <c r="M20" s="30">
        <f>(Tabla2[[#This Row],[Precio Unitario ARS]]-(Tabla2[[#This Row],[Precio Unitario ARS]]*Tabla2[[#This Row],[DTO]]))*Tabla2[[#This Row],[Cantidad]]</f>
        <v>176800</v>
      </c>
      <c r="N20" s="31">
        <f>Tabla2[[#This Row],[Subtotal ARS]]+(Tabla2[[#This Row],[Subtotal ARS]]*Tabla2[[#This Row],[IVA]])</f>
        <v>213928</v>
      </c>
      <c r="O20" s="31">
        <f>Tabla2[[#This Row],[TOTAL ARS]]/Tabla2[[#This Row],[TC BNA]]</f>
        <v>149.6</v>
      </c>
      <c r="P20" s="21">
        <f>_xlfn.XLOOKUP(A20,'TC_BNA xlsx'!A:A,'TC_BNA xlsx'!C:C,"No encontrado")</f>
        <v>1430</v>
      </c>
      <c r="Q20" s="23"/>
      <c r="R20" s="6"/>
      <c r="S20" s="6"/>
    </row>
    <row r="21" spans="1:31" x14ac:dyDescent="0.25">
      <c r="A21" s="20">
        <v>46168</v>
      </c>
      <c r="B21" s="21">
        <f>MONTH(Tabla2[[#This Row],[Fecha]])</f>
        <v>5</v>
      </c>
      <c r="C21" s="22" t="s">
        <v>171</v>
      </c>
      <c r="D21" s="23" t="str">
        <f>IFERROR(_xlfn.XLOOKUP(Tabla2[[#This Row],[Artículo]],Tabla1[Artículos],Tabla1[Rubro]),"")</f>
        <v>Reventa</v>
      </c>
      <c r="E21" s="24" t="s">
        <v>149</v>
      </c>
      <c r="F21" s="25">
        <v>6000</v>
      </c>
      <c r="G21" s="24" t="s">
        <v>25</v>
      </c>
      <c r="H21" s="26">
        <v>18.600000000000001</v>
      </c>
      <c r="I21" s="27">
        <f>Tabla2[[#This Row],[Precio Unitario ARS]]/Tabla2[[#This Row],[TC BNA]]</f>
        <v>1.3006993006993008E-2</v>
      </c>
      <c r="J21" s="28">
        <v>0</v>
      </c>
      <c r="K21" s="24" t="s">
        <v>19</v>
      </c>
      <c r="L21" s="29">
        <v>0.21</v>
      </c>
      <c r="M21" s="30">
        <f>(Tabla2[[#This Row],[Precio Unitario ARS]]-(Tabla2[[#This Row],[Precio Unitario ARS]]*Tabla2[[#This Row],[DTO]]))*Tabla2[[#This Row],[Cantidad]]</f>
        <v>111600.00000000001</v>
      </c>
      <c r="N21" s="31">
        <f>Tabla2[[#This Row],[Subtotal ARS]]+(Tabla2[[#This Row],[Subtotal ARS]]*Tabla2[[#This Row],[IVA]])</f>
        <v>135036.00000000003</v>
      </c>
      <c r="O21" s="31">
        <f>Tabla2[[#This Row],[TOTAL ARS]]/Tabla2[[#This Row],[TC BNA]]</f>
        <v>94.430769230769258</v>
      </c>
      <c r="P21" s="21">
        <f>_xlfn.XLOOKUP(A21,'TC_BNA xlsx'!A:A,'TC_BNA xlsx'!C:C,"No encontrado")</f>
        <v>1430</v>
      </c>
      <c r="Q21" s="23"/>
      <c r="R21" s="6"/>
      <c r="S21" s="6"/>
    </row>
    <row r="22" spans="1:31" x14ac:dyDescent="0.25">
      <c r="A22" s="20">
        <v>46168</v>
      </c>
      <c r="B22" s="21">
        <f>MONTH(Tabla2[[#This Row],[Fecha]])</f>
        <v>5</v>
      </c>
      <c r="C22" s="22" t="s">
        <v>183</v>
      </c>
      <c r="D22" s="23" t="str">
        <f>IFERROR(_xlfn.XLOOKUP(Tabla2[[#This Row],[Artículo]],Tabla1[Artículos],Tabla1[Rubro]),"")</f>
        <v>Limpieza</v>
      </c>
      <c r="E22" s="24" t="s">
        <v>214</v>
      </c>
      <c r="F22" s="25">
        <v>10</v>
      </c>
      <c r="G22" s="24" t="s">
        <v>25</v>
      </c>
      <c r="H22" s="26">
        <v>3619.83</v>
      </c>
      <c r="I22" s="27">
        <f>Tabla2[[#This Row],[Precio Unitario ARS]]/Tabla2[[#This Row],[TC BNA]]</f>
        <v>2.5313496503496502</v>
      </c>
      <c r="J22" s="28">
        <v>0</v>
      </c>
      <c r="K22" s="24" t="s">
        <v>19</v>
      </c>
      <c r="L22" s="29">
        <v>0.21</v>
      </c>
      <c r="M22" s="30">
        <f>(Tabla2[[#This Row],[Precio Unitario ARS]]-(Tabla2[[#This Row],[Precio Unitario ARS]]*Tabla2[[#This Row],[DTO]]))*Tabla2[[#This Row],[Cantidad]]</f>
        <v>36198.300000000003</v>
      </c>
      <c r="N22" s="31">
        <f>Tabla2[[#This Row],[Subtotal ARS]]+(Tabla2[[#This Row],[Subtotal ARS]]*Tabla2[[#This Row],[IVA]])</f>
        <v>43799.942999999999</v>
      </c>
      <c r="O22" s="31">
        <f>Tabla2[[#This Row],[TOTAL ARS]]/Tabla2[[#This Row],[TC BNA]]</f>
        <v>30.629330769230769</v>
      </c>
      <c r="P22" s="21">
        <f>_xlfn.XLOOKUP(A22,'TC_BNA xlsx'!A:A,'TC_BNA xlsx'!C:C,"No encontrado")</f>
        <v>1430</v>
      </c>
      <c r="Q22" s="23"/>
      <c r="R22" s="6"/>
      <c r="S22" s="6"/>
    </row>
    <row r="23" spans="1:31" x14ac:dyDescent="0.25">
      <c r="A23" s="20">
        <v>46168</v>
      </c>
      <c r="B23" s="21">
        <f>MONTH(Tabla2[[#This Row],[Fecha]])</f>
        <v>5</v>
      </c>
      <c r="C23" s="22" t="s">
        <v>185</v>
      </c>
      <c r="D23" s="23" t="str">
        <f>IFERROR(_xlfn.XLOOKUP(Tabla2[[#This Row],[Artículo]],Tabla1[Artículos],Tabla1[Rubro]),"")</f>
        <v>Limpieza</v>
      </c>
      <c r="E23" s="24" t="s">
        <v>214</v>
      </c>
      <c r="F23" s="25">
        <v>130</v>
      </c>
      <c r="G23" s="24" t="s">
        <v>25</v>
      </c>
      <c r="H23" s="26">
        <f>611.57/10</f>
        <v>61.157000000000004</v>
      </c>
      <c r="I23" s="27">
        <f>Tabla2[[#This Row],[Precio Unitario ARS]]/Tabla2[[#This Row],[TC BNA]]</f>
        <v>4.2767132867132872E-2</v>
      </c>
      <c r="J23" s="28">
        <v>0</v>
      </c>
      <c r="K23" s="24" t="s">
        <v>19</v>
      </c>
      <c r="L23" s="29">
        <v>0.21</v>
      </c>
      <c r="M23" s="30">
        <f>(Tabla2[[#This Row],[Precio Unitario ARS]]-(Tabla2[[#This Row],[Precio Unitario ARS]]*Tabla2[[#This Row],[DTO]]))*Tabla2[[#This Row],[Cantidad]]</f>
        <v>7950.4100000000008</v>
      </c>
      <c r="N23" s="31">
        <f>Tabla2[[#This Row],[Subtotal ARS]]+(Tabla2[[#This Row],[Subtotal ARS]]*Tabla2[[#This Row],[IVA]])</f>
        <v>9619.9961000000003</v>
      </c>
      <c r="O23" s="31">
        <f>Tabla2[[#This Row],[TOTAL ARS]]/Tabla2[[#This Row],[TC BNA]]</f>
        <v>6.7272699999999999</v>
      </c>
      <c r="P23" s="21">
        <f>_xlfn.XLOOKUP(A23,'TC_BNA xlsx'!A:A,'TC_BNA xlsx'!C:C,"No encontrado")</f>
        <v>1430</v>
      </c>
      <c r="Q23" s="23"/>
      <c r="R23" s="6"/>
      <c r="S23" s="6"/>
    </row>
    <row r="24" spans="1:31" x14ac:dyDescent="0.25">
      <c r="A24" s="20">
        <v>46168</v>
      </c>
      <c r="B24" s="21">
        <f>MONTH(Tabla2[[#This Row],[Fecha]])</f>
        <v>5</v>
      </c>
      <c r="C24" s="22" t="s">
        <v>186</v>
      </c>
      <c r="D24" s="23" t="str">
        <f>IFERROR(_xlfn.XLOOKUP(Tabla2[[#This Row],[Artículo]],Tabla1[Artículos],Tabla1[Rubro]),"")</f>
        <v>Limpieza</v>
      </c>
      <c r="E24" s="24" t="s">
        <v>214</v>
      </c>
      <c r="F24" s="25">
        <v>110</v>
      </c>
      <c r="G24" s="24" t="s">
        <v>25</v>
      </c>
      <c r="H24" s="26">
        <f>1876.03/10</f>
        <v>187.60300000000001</v>
      </c>
      <c r="I24" s="27">
        <f>Tabla2[[#This Row],[Precio Unitario ARS]]/Tabla2[[#This Row],[TC BNA]]</f>
        <v>0.13119090909090911</v>
      </c>
      <c r="J24" s="28">
        <v>0</v>
      </c>
      <c r="K24" s="24" t="s">
        <v>19</v>
      </c>
      <c r="L24" s="29">
        <v>0.21</v>
      </c>
      <c r="M24" s="30">
        <f>(Tabla2[[#This Row],[Precio Unitario ARS]]-(Tabla2[[#This Row],[Precio Unitario ARS]]*Tabla2[[#This Row],[DTO]]))*Tabla2[[#This Row],[Cantidad]]</f>
        <v>20636.330000000002</v>
      </c>
      <c r="N24" s="31">
        <f>Tabla2[[#This Row],[Subtotal ARS]]+(Tabla2[[#This Row],[Subtotal ARS]]*Tabla2[[#This Row],[IVA]])</f>
        <v>24969.959300000002</v>
      </c>
      <c r="O24" s="31">
        <f>Tabla2[[#This Row],[TOTAL ARS]]/Tabla2[[#This Row],[TC BNA]]</f>
        <v>17.461510000000001</v>
      </c>
      <c r="P24" s="21">
        <f>_xlfn.XLOOKUP(A24,'TC_BNA xlsx'!A:A,'TC_BNA xlsx'!C:C,"No encontrado")</f>
        <v>1430</v>
      </c>
      <c r="Q24" s="23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spans="1:31" x14ac:dyDescent="0.25">
      <c r="A25" s="20">
        <v>46168</v>
      </c>
      <c r="B25" s="21">
        <f>MONTH(Tabla2[[#This Row],[Fecha]])</f>
        <v>5</v>
      </c>
      <c r="C25" s="22" t="s">
        <v>187</v>
      </c>
      <c r="D25" s="23" t="str">
        <f>IFERROR(_xlfn.XLOOKUP(Tabla2[[#This Row],[Artículo]],Tabla1[Artículos],Tabla1[Rubro]),"")</f>
        <v>Limpieza</v>
      </c>
      <c r="E25" s="24" t="s">
        <v>214</v>
      </c>
      <c r="F25" s="25">
        <v>6</v>
      </c>
      <c r="G25" s="24" t="s">
        <v>25</v>
      </c>
      <c r="H25" s="26">
        <v>520.66</v>
      </c>
      <c r="I25" s="27">
        <f>Tabla2[[#This Row],[Precio Unitario ARS]]/Tabla2[[#This Row],[TC BNA]]</f>
        <v>0.36409790209790205</v>
      </c>
      <c r="J25" s="28">
        <v>0</v>
      </c>
      <c r="K25" s="24" t="s">
        <v>19</v>
      </c>
      <c r="L25" s="29">
        <v>0.21</v>
      </c>
      <c r="M25" s="30">
        <f>(Tabla2[[#This Row],[Precio Unitario ARS]]-(Tabla2[[#This Row],[Precio Unitario ARS]]*Tabla2[[#This Row],[DTO]]))*Tabla2[[#This Row],[Cantidad]]</f>
        <v>3123.96</v>
      </c>
      <c r="N25" s="31">
        <f>Tabla2[[#This Row],[Subtotal ARS]]+(Tabla2[[#This Row],[Subtotal ARS]]*Tabla2[[#This Row],[IVA]])</f>
        <v>3779.9916000000003</v>
      </c>
      <c r="O25" s="31">
        <f>Tabla2[[#This Row],[TOTAL ARS]]/Tabla2[[#This Row],[TC BNA]]</f>
        <v>2.6433507692307696</v>
      </c>
      <c r="P25" s="21">
        <f>_xlfn.XLOOKUP(A25,'TC_BNA xlsx'!A:A,'TC_BNA xlsx'!C:C,"No encontrado")</f>
        <v>1430</v>
      </c>
      <c r="Q25" s="23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spans="1:31" x14ac:dyDescent="0.25">
      <c r="A26" s="20">
        <v>46168</v>
      </c>
      <c r="B26" s="21">
        <f>MONTH(Tabla2[[#This Row],[Fecha]])</f>
        <v>5</v>
      </c>
      <c r="C26" s="22" t="s">
        <v>188</v>
      </c>
      <c r="D26" s="23" t="str">
        <f>IFERROR(_xlfn.XLOOKUP(Tabla2[[#This Row],[Artículo]],Tabla1[Artículos],Tabla1[Rubro]),"")</f>
        <v>Limpieza</v>
      </c>
      <c r="E26" s="24" t="s">
        <v>214</v>
      </c>
      <c r="F26" s="25">
        <v>5</v>
      </c>
      <c r="G26" s="24" t="s">
        <v>215</v>
      </c>
      <c r="H26" s="26">
        <f>2809.91/5</f>
        <v>561.98199999999997</v>
      </c>
      <c r="I26" s="27">
        <f>Tabla2[[#This Row],[Precio Unitario ARS]]/Tabla2[[#This Row],[TC BNA]]</f>
        <v>0.39299440559440557</v>
      </c>
      <c r="J26" s="28">
        <v>0</v>
      </c>
      <c r="K26" s="24" t="s">
        <v>19</v>
      </c>
      <c r="L26" s="29">
        <v>0.21</v>
      </c>
      <c r="M26" s="30">
        <f>(Tabla2[[#This Row],[Precio Unitario ARS]]-(Tabla2[[#This Row],[Precio Unitario ARS]]*Tabla2[[#This Row],[DTO]]))*Tabla2[[#This Row],[Cantidad]]</f>
        <v>2809.91</v>
      </c>
      <c r="N26" s="31">
        <f>Tabla2[[#This Row],[Subtotal ARS]]+(Tabla2[[#This Row],[Subtotal ARS]]*Tabla2[[#This Row],[IVA]])</f>
        <v>3399.9910999999997</v>
      </c>
      <c r="O26" s="31">
        <f>Tabla2[[#This Row],[TOTAL ARS]]/Tabla2[[#This Row],[TC BNA]]</f>
        <v>2.3776161538461538</v>
      </c>
      <c r="P26" s="21">
        <f>_xlfn.XLOOKUP(A26,'TC_BNA xlsx'!A:A,'TC_BNA xlsx'!C:C,"No encontrado")</f>
        <v>1430</v>
      </c>
      <c r="Q26" s="23"/>
      <c r="R26" s="6"/>
      <c r="S26" s="6"/>
    </row>
    <row r="27" spans="1:31" x14ac:dyDescent="0.25">
      <c r="A27" s="20">
        <v>46168</v>
      </c>
      <c r="B27" s="21">
        <f>MONTH(Tabla2[[#This Row],[Fecha]])</f>
        <v>5</v>
      </c>
      <c r="C27" s="22" t="s">
        <v>189</v>
      </c>
      <c r="D27" s="23" t="str">
        <f>IFERROR(_xlfn.XLOOKUP(Tabla2[[#This Row],[Artículo]],Tabla1[Artículos],Tabla1[Rubro]),"")</f>
        <v>Limpieza</v>
      </c>
      <c r="E27" s="24" t="s">
        <v>214</v>
      </c>
      <c r="F27" s="25">
        <v>1</v>
      </c>
      <c r="G27" s="24" t="s">
        <v>25</v>
      </c>
      <c r="H27" s="26">
        <v>2917.35</v>
      </c>
      <c r="I27" s="27">
        <f>Tabla2[[#This Row],[Precio Unitario ARS]]/Tabla2[[#This Row],[TC BNA]]</f>
        <v>2.040104895104895</v>
      </c>
      <c r="J27" s="28">
        <v>0</v>
      </c>
      <c r="K27" s="24" t="s">
        <v>19</v>
      </c>
      <c r="L27" s="29">
        <v>0.21</v>
      </c>
      <c r="M27" s="30">
        <f>(Tabla2[[#This Row],[Precio Unitario ARS]]-(Tabla2[[#This Row],[Precio Unitario ARS]]*Tabla2[[#This Row],[DTO]]))*Tabla2[[#This Row],[Cantidad]]</f>
        <v>2917.35</v>
      </c>
      <c r="N27" s="31">
        <f>Tabla2[[#This Row],[Subtotal ARS]]+(Tabla2[[#This Row],[Subtotal ARS]]*Tabla2[[#This Row],[IVA]])</f>
        <v>3529.9934999999996</v>
      </c>
      <c r="O27" s="31">
        <f>Tabla2[[#This Row],[TOTAL ARS]]/Tabla2[[#This Row],[TC BNA]]</f>
        <v>2.4685269230769227</v>
      </c>
      <c r="P27" s="21">
        <f>_xlfn.XLOOKUP(A27,'TC_BNA xlsx'!A:A,'TC_BNA xlsx'!C:C,"No encontrado")</f>
        <v>1430</v>
      </c>
      <c r="Q27" s="23"/>
      <c r="R27" s="6"/>
      <c r="S27" s="6"/>
    </row>
    <row r="28" spans="1:31" x14ac:dyDescent="0.25">
      <c r="A28" s="20">
        <v>46168</v>
      </c>
      <c r="B28" s="21">
        <f>MONTH(Tabla2[[#This Row],[Fecha]])</f>
        <v>5</v>
      </c>
      <c r="C28" s="22" t="s">
        <v>197</v>
      </c>
      <c r="D28" s="23" t="str">
        <f>IFERROR(_xlfn.XLOOKUP(Tabla2[[#This Row],[Artículo]],Tabla1[Artículos],Tabla1[Rubro]),"")</f>
        <v>Limpieza</v>
      </c>
      <c r="E28" s="24" t="s">
        <v>214</v>
      </c>
      <c r="F28" s="25">
        <v>5</v>
      </c>
      <c r="G28" s="24" t="s">
        <v>215</v>
      </c>
      <c r="H28" s="26">
        <f>8462.8/5</f>
        <v>1692.56</v>
      </c>
      <c r="I28" s="27">
        <f>Tabla2[[#This Row],[Precio Unitario ARS]]/Tabla2[[#This Row],[TC BNA]]</f>
        <v>1.1836083916083915</v>
      </c>
      <c r="J28" s="28">
        <v>0</v>
      </c>
      <c r="K28" s="24" t="s">
        <v>19</v>
      </c>
      <c r="L28" s="29">
        <v>0.21</v>
      </c>
      <c r="M28" s="30">
        <f>(Tabla2[[#This Row],[Precio Unitario ARS]]-(Tabla2[[#This Row],[Precio Unitario ARS]]*Tabla2[[#This Row],[DTO]]))*Tabla2[[#This Row],[Cantidad]]</f>
        <v>8462.7999999999993</v>
      </c>
      <c r="N28" s="31">
        <f>Tabla2[[#This Row],[Subtotal ARS]]+(Tabla2[[#This Row],[Subtotal ARS]]*Tabla2[[#This Row],[IVA]])</f>
        <v>10239.987999999999</v>
      </c>
      <c r="O28" s="31">
        <f>Tabla2[[#This Row],[TOTAL ARS]]/Tabla2[[#This Row],[TC BNA]]</f>
        <v>7.1608307692307687</v>
      </c>
      <c r="P28" s="21">
        <f>_xlfn.XLOOKUP(A28,'TC_BNA xlsx'!A:A,'TC_BNA xlsx'!C:C,"No encontrado")</f>
        <v>1430</v>
      </c>
      <c r="Q28" s="23"/>
      <c r="R28" s="6"/>
      <c r="S28" s="6"/>
    </row>
    <row r="29" spans="1:31" x14ac:dyDescent="0.25">
      <c r="A29" s="20">
        <v>46168</v>
      </c>
      <c r="B29" s="21">
        <f>MONTH(Tabla2[[#This Row],[Fecha]])</f>
        <v>5</v>
      </c>
      <c r="C29" s="22" t="s">
        <v>198</v>
      </c>
      <c r="D29" s="23" t="str">
        <f>IFERROR(_xlfn.XLOOKUP(Tabla2[[#This Row],[Artículo]],Tabla1[Artículos],Tabla1[Rubro]),"")</f>
        <v>Limpieza</v>
      </c>
      <c r="E29" s="24" t="s">
        <v>214</v>
      </c>
      <c r="F29" s="25">
        <v>5</v>
      </c>
      <c r="G29" s="24" t="s">
        <v>215</v>
      </c>
      <c r="H29" s="26">
        <f>8239.66/5</f>
        <v>1647.932</v>
      </c>
      <c r="I29" s="27">
        <f>Tabla2[[#This Row],[Precio Unitario ARS]]/Tabla2[[#This Row],[TC BNA]]</f>
        <v>1.1524000000000001</v>
      </c>
      <c r="J29" s="28">
        <v>0</v>
      </c>
      <c r="K29" s="24" t="s">
        <v>19</v>
      </c>
      <c r="L29" s="29">
        <v>0.21</v>
      </c>
      <c r="M29" s="30">
        <f>(Tabla2[[#This Row],[Precio Unitario ARS]]-(Tabla2[[#This Row],[Precio Unitario ARS]]*Tabla2[[#This Row],[DTO]]))*Tabla2[[#This Row],[Cantidad]]</f>
        <v>8239.66</v>
      </c>
      <c r="N29" s="31">
        <f>Tabla2[[#This Row],[Subtotal ARS]]+(Tabla2[[#This Row],[Subtotal ARS]]*Tabla2[[#This Row],[IVA]])</f>
        <v>9969.9886000000006</v>
      </c>
      <c r="O29" s="31">
        <f>Tabla2[[#This Row],[TOTAL ARS]]/Tabla2[[#This Row],[TC BNA]]</f>
        <v>6.9720200000000006</v>
      </c>
      <c r="P29" s="21">
        <f>_xlfn.XLOOKUP(A29,'TC_BNA xlsx'!A:A,'TC_BNA xlsx'!C:C,"No encontrado")</f>
        <v>1430</v>
      </c>
      <c r="Q29" s="23"/>
      <c r="R29" s="6"/>
      <c r="S29" s="6"/>
    </row>
    <row r="30" spans="1:31" x14ac:dyDescent="0.25">
      <c r="A30" s="20">
        <v>46168</v>
      </c>
      <c r="B30" s="21">
        <f>MONTH(Tabla2[[#This Row],[Fecha]])</f>
        <v>5</v>
      </c>
      <c r="C30" s="22" t="s">
        <v>211</v>
      </c>
      <c r="D30" s="23" t="str">
        <f>IFERROR(_xlfn.XLOOKUP(Tabla2[[#This Row],[Artículo]],Tabla1[Artículos],Tabla1[Rubro]),"")</f>
        <v>Limpieza</v>
      </c>
      <c r="E30" s="24" t="s">
        <v>214</v>
      </c>
      <c r="F30" s="25">
        <v>2</v>
      </c>
      <c r="G30" s="24" t="s">
        <v>25</v>
      </c>
      <c r="H30" s="26">
        <v>710.74</v>
      </c>
      <c r="I30" s="27">
        <f>Tabla2[[#This Row],[Precio Unitario ARS]]/Tabla2[[#This Row],[TC BNA]]</f>
        <v>0.49702097902097903</v>
      </c>
      <c r="J30" s="28">
        <v>0</v>
      </c>
      <c r="K30" s="24" t="s">
        <v>19</v>
      </c>
      <c r="L30" s="29">
        <v>0.21</v>
      </c>
      <c r="M30" s="30">
        <f>(Tabla2[[#This Row],[Precio Unitario ARS]]-(Tabla2[[#This Row],[Precio Unitario ARS]]*Tabla2[[#This Row],[DTO]]))*Tabla2[[#This Row],[Cantidad]]</f>
        <v>1421.48</v>
      </c>
      <c r="N30" s="31">
        <f>Tabla2[[#This Row],[Subtotal ARS]]+(Tabla2[[#This Row],[Subtotal ARS]]*Tabla2[[#This Row],[IVA]])</f>
        <v>1719.9908</v>
      </c>
      <c r="O30" s="31">
        <f>Tabla2[[#This Row],[TOTAL ARS]]/Tabla2[[#This Row],[TC BNA]]</f>
        <v>1.2027907692307693</v>
      </c>
      <c r="P30" s="21">
        <f>_xlfn.XLOOKUP(A30,'TC_BNA xlsx'!A:A,'TC_BNA xlsx'!C:C,"No encontrado")</f>
        <v>1430</v>
      </c>
      <c r="Q30" s="23"/>
      <c r="R30" s="6"/>
      <c r="S30" s="6"/>
    </row>
    <row r="31" spans="1:31" x14ac:dyDescent="0.25">
      <c r="A31" s="20">
        <v>46168</v>
      </c>
      <c r="B31" s="21">
        <f>MONTH(Tabla2[[#This Row],[Fecha]])</f>
        <v>5</v>
      </c>
      <c r="C31" s="22" t="s">
        <v>212</v>
      </c>
      <c r="D31" s="23" t="str">
        <f>IFERROR(_xlfn.XLOOKUP(Tabla2[[#This Row],[Artículo]],Tabla1[Artículos],Tabla1[Rubro]),"")</f>
        <v>Limpieza</v>
      </c>
      <c r="E31" s="24" t="s">
        <v>214</v>
      </c>
      <c r="F31" s="25">
        <v>4</v>
      </c>
      <c r="G31" s="24" t="s">
        <v>25</v>
      </c>
      <c r="H31" s="26">
        <v>1661.15</v>
      </c>
      <c r="I31" s="27">
        <f>Tabla2[[#This Row],[Precio Unitario ARS]]/Tabla2[[#This Row],[TC BNA]]</f>
        <v>1.1616433566433566</v>
      </c>
      <c r="J31" s="28">
        <v>0</v>
      </c>
      <c r="K31" s="24" t="s">
        <v>19</v>
      </c>
      <c r="L31" s="29">
        <v>0.21</v>
      </c>
      <c r="M31" s="30">
        <f>(Tabla2[[#This Row],[Precio Unitario ARS]]-(Tabla2[[#This Row],[Precio Unitario ARS]]*Tabla2[[#This Row],[DTO]]))*Tabla2[[#This Row],[Cantidad]]</f>
        <v>6644.6</v>
      </c>
      <c r="N31" s="31">
        <f>Tabla2[[#This Row],[Subtotal ARS]]+(Tabla2[[#This Row],[Subtotal ARS]]*Tabla2[[#This Row],[IVA]])</f>
        <v>8039.9660000000003</v>
      </c>
      <c r="O31" s="31">
        <f>Tabla2[[#This Row],[TOTAL ARS]]/Tabla2[[#This Row],[TC BNA]]</f>
        <v>5.622353846153846</v>
      </c>
      <c r="P31" s="21">
        <f>_xlfn.XLOOKUP(A31,'TC_BNA xlsx'!A:A,'TC_BNA xlsx'!C:C,"No encontrado")</f>
        <v>1430</v>
      </c>
      <c r="Q31" s="23"/>
      <c r="R31" s="6"/>
      <c r="S31" s="6"/>
    </row>
    <row r="32" spans="1:31" x14ac:dyDescent="0.25">
      <c r="A32" s="20">
        <v>46168</v>
      </c>
      <c r="B32" s="21">
        <f>MONTH(Tabla2[[#This Row],[Fecha]])</f>
        <v>5</v>
      </c>
      <c r="C32" s="22" t="s">
        <v>213</v>
      </c>
      <c r="D32" s="23" t="str">
        <f>IFERROR(_xlfn.XLOOKUP(Tabla2[[#This Row],[Artículo]],Tabla1[Artículos],Tabla1[Rubro]),"")</f>
        <v>Limpieza</v>
      </c>
      <c r="E32" s="24" t="s">
        <v>214</v>
      </c>
      <c r="F32" s="25">
        <v>7</v>
      </c>
      <c r="G32" s="24" t="s">
        <v>25</v>
      </c>
      <c r="H32" s="26">
        <v>4818.18</v>
      </c>
      <c r="I32" s="27">
        <f>Tabla2[[#This Row],[Precio Unitario ARS]]/Tabla2[[#This Row],[TC BNA]]</f>
        <v>3.3693566433566438</v>
      </c>
      <c r="J32" s="28">
        <v>0</v>
      </c>
      <c r="K32" s="24" t="s">
        <v>19</v>
      </c>
      <c r="L32" s="29">
        <v>0.21</v>
      </c>
      <c r="M32" s="30">
        <f>(Tabla2[[#This Row],[Precio Unitario ARS]]-(Tabla2[[#This Row],[Precio Unitario ARS]]*Tabla2[[#This Row],[DTO]]))*Tabla2[[#This Row],[Cantidad]]</f>
        <v>33727.26</v>
      </c>
      <c r="N32" s="31">
        <f>Tabla2[[#This Row],[Subtotal ARS]]+(Tabla2[[#This Row],[Subtotal ARS]]*Tabla2[[#This Row],[IVA]])</f>
        <v>40809.984600000003</v>
      </c>
      <c r="O32" s="31">
        <f>Tabla2[[#This Row],[TOTAL ARS]]/Tabla2[[#This Row],[TC BNA]]</f>
        <v>28.538450769230771</v>
      </c>
      <c r="P32" s="21">
        <f>_xlfn.XLOOKUP(A32,'TC_BNA xlsx'!A:A,'TC_BNA xlsx'!C:C,"No encontrado")</f>
        <v>1430</v>
      </c>
      <c r="Q32" s="23"/>
      <c r="R32" s="6"/>
      <c r="S32" s="6"/>
    </row>
    <row r="33" spans="1:30" x14ac:dyDescent="0.25">
      <c r="A33" s="20">
        <v>46168</v>
      </c>
      <c r="B33" s="21">
        <f>MONTH(Tabla2[[#This Row],[Fecha]])</f>
        <v>5</v>
      </c>
      <c r="C33" s="22" t="s">
        <v>195</v>
      </c>
      <c r="D33" s="23" t="str">
        <f>IFERROR(_xlfn.XLOOKUP(Tabla2[[#This Row],[Artículo]],Tabla1[Artículos],Tabla1[Rubro]),"")</f>
        <v>Limpieza</v>
      </c>
      <c r="E33" s="24" t="s">
        <v>214</v>
      </c>
      <c r="F33" s="25">
        <v>2</v>
      </c>
      <c r="G33" s="24" t="s">
        <v>25</v>
      </c>
      <c r="H33" s="26">
        <v>719</v>
      </c>
      <c r="I33" s="27">
        <f>Tabla2[[#This Row],[Precio Unitario ARS]]/Tabla2[[#This Row],[TC BNA]]</f>
        <v>0.50279720279720275</v>
      </c>
      <c r="J33" s="28">
        <v>0</v>
      </c>
      <c r="K33" s="24" t="s">
        <v>19</v>
      </c>
      <c r="L33" s="29">
        <v>0.21</v>
      </c>
      <c r="M33" s="30">
        <f>(Tabla2[[#This Row],[Precio Unitario ARS]]-(Tabla2[[#This Row],[Precio Unitario ARS]]*Tabla2[[#This Row],[DTO]]))*Tabla2[[#This Row],[Cantidad]]</f>
        <v>1438</v>
      </c>
      <c r="N33" s="31">
        <f>Tabla2[[#This Row],[Subtotal ARS]]+(Tabla2[[#This Row],[Subtotal ARS]]*Tabla2[[#This Row],[IVA]])</f>
        <v>1739.98</v>
      </c>
      <c r="O33" s="31">
        <f>Tabla2[[#This Row],[TOTAL ARS]]/Tabla2[[#This Row],[TC BNA]]</f>
        <v>1.2167692307692308</v>
      </c>
      <c r="P33" s="21">
        <f>_xlfn.XLOOKUP(A33,'TC_BNA xlsx'!A:A,'TC_BNA xlsx'!C:C,"No encontrado")</f>
        <v>1430</v>
      </c>
      <c r="Q33" s="23"/>
      <c r="R33" s="6"/>
      <c r="S33" s="6"/>
    </row>
    <row r="34" spans="1:30" x14ac:dyDescent="0.25">
      <c r="A34" s="20">
        <v>46169</v>
      </c>
      <c r="B34" s="21">
        <f>MONTH(Tabla2[[#This Row],[Fecha]])</f>
        <v>5</v>
      </c>
      <c r="C34" s="22" t="s">
        <v>222</v>
      </c>
      <c r="D34" s="23" t="str">
        <f>IFERROR(_xlfn.XLOOKUP(Tabla2[[#This Row],[Artículo]],Tabla1[Artículos],Tabla1[Rubro]),"")</f>
        <v>Servicio</v>
      </c>
      <c r="E34" s="24" t="s">
        <v>175</v>
      </c>
      <c r="F34" s="25">
        <v>726</v>
      </c>
      <c r="G34" s="24" t="s">
        <v>25</v>
      </c>
      <c r="H34" s="26">
        <v>517</v>
      </c>
      <c r="I34" s="27">
        <f>Tabla2[[#This Row],[Precio Unitario ARS]]/Tabla2[[#This Row],[TC BNA]]</f>
        <v>0.36153846153846153</v>
      </c>
      <c r="J34" s="28">
        <v>0</v>
      </c>
      <c r="K34" s="24" t="s">
        <v>19</v>
      </c>
      <c r="L34" s="29"/>
      <c r="M34" s="30">
        <f>(Tabla2[[#This Row],[Precio Unitario ARS]]-(Tabla2[[#This Row],[Precio Unitario ARS]]*Tabla2[[#This Row],[DTO]]))*Tabla2[[#This Row],[Cantidad]]</f>
        <v>375342</v>
      </c>
      <c r="N34" s="31">
        <f>Tabla2[[#This Row],[Subtotal ARS]]+(Tabla2[[#This Row],[Subtotal ARS]]*Tabla2[[#This Row],[IVA]])</f>
        <v>375342</v>
      </c>
      <c r="O34" s="31">
        <f>Tabla2[[#This Row],[TOTAL ARS]]/Tabla2[[#This Row],[TC BNA]]</f>
        <v>262.47692307692307</v>
      </c>
      <c r="P34" s="21">
        <f>_xlfn.XLOOKUP(A34,'TC_BNA xlsx'!A:A,'TC_BNA xlsx'!C:C,"No encontrado")</f>
        <v>1430</v>
      </c>
      <c r="Q34" s="23"/>
      <c r="R34" s="6"/>
      <c r="S34" s="6"/>
    </row>
    <row r="35" spans="1:30" x14ac:dyDescent="0.25">
      <c r="A35" s="20">
        <v>46169</v>
      </c>
      <c r="B35" s="21">
        <f>MONTH(Tabla2[[#This Row],[Fecha]])</f>
        <v>5</v>
      </c>
      <c r="C35" s="22" t="s">
        <v>223</v>
      </c>
      <c r="D35" s="23" t="str">
        <f>IFERROR(_xlfn.XLOOKUP(Tabla2[[#This Row],[Artículo]],Tabla1[Artículos],Tabla1[Rubro]),"")</f>
        <v>Servicio</v>
      </c>
      <c r="E35" s="24" t="s">
        <v>175</v>
      </c>
      <c r="F35" s="25">
        <v>1800</v>
      </c>
      <c r="G35" s="24" t="s">
        <v>25</v>
      </c>
      <c r="H35" s="26">
        <v>620</v>
      </c>
      <c r="I35" s="27">
        <f>Tabla2[[#This Row],[Precio Unitario ARS]]/Tabla2[[#This Row],[TC BNA]]</f>
        <v>0.43356643356643354</v>
      </c>
      <c r="J35" s="28">
        <v>0</v>
      </c>
      <c r="K35" s="24" t="s">
        <v>19</v>
      </c>
      <c r="L35" s="29"/>
      <c r="M35" s="30">
        <f>(Tabla2[[#This Row],[Precio Unitario ARS]]-(Tabla2[[#This Row],[Precio Unitario ARS]]*Tabla2[[#This Row],[DTO]]))*Tabla2[[#This Row],[Cantidad]]</f>
        <v>1116000</v>
      </c>
      <c r="N35" s="31">
        <f>Tabla2[[#This Row],[Subtotal ARS]]+(Tabla2[[#This Row],[Subtotal ARS]]*Tabla2[[#This Row],[IVA]])</f>
        <v>1116000</v>
      </c>
      <c r="O35" s="31">
        <f>Tabla2[[#This Row],[TOTAL ARS]]/Tabla2[[#This Row],[TC BNA]]</f>
        <v>780.41958041958037</v>
      </c>
      <c r="P35" s="21">
        <f>_xlfn.XLOOKUP(A35,'TC_BNA xlsx'!A:A,'TC_BNA xlsx'!C:C,"No encontrado")</f>
        <v>1430</v>
      </c>
      <c r="Q35" s="23"/>
      <c r="R35" s="6"/>
      <c r="S35" s="6"/>
    </row>
    <row r="36" spans="1:30" x14ac:dyDescent="0.25">
      <c r="A36" s="20">
        <v>46170</v>
      </c>
      <c r="B36" s="21">
        <f>MONTH(Tabla2[[#This Row],[Fecha]])</f>
        <v>5</v>
      </c>
      <c r="C36" s="22" t="s">
        <v>108</v>
      </c>
      <c r="D36" s="23" t="str">
        <f>IFERROR(_xlfn.XLOOKUP(Tabla2[[#This Row],[Artículo]],Tabla1[Artículos],Tabla1[Rubro]),"")</f>
        <v>Embalaje</v>
      </c>
      <c r="E36" s="24" t="s">
        <v>131</v>
      </c>
      <c r="F36" s="25">
        <v>20</v>
      </c>
      <c r="G36" s="24" t="s">
        <v>25</v>
      </c>
      <c r="H36" s="26">
        <v>6500</v>
      </c>
      <c r="I36" s="27">
        <f>Tabla2[[#This Row],[Precio Unitario ARS]]/Tabla2[[#This Row],[TC BNA]]</f>
        <v>4.5454545454545459</v>
      </c>
      <c r="J36" s="28">
        <v>0</v>
      </c>
      <c r="K36" s="24" t="s">
        <v>19</v>
      </c>
      <c r="L36" s="29">
        <v>0.21</v>
      </c>
      <c r="M36" s="30">
        <f>(Tabla2[[#This Row],[Precio Unitario ARS]]-(Tabla2[[#This Row],[Precio Unitario ARS]]*Tabla2[[#This Row],[DTO]]))*Tabla2[[#This Row],[Cantidad]]</f>
        <v>130000</v>
      </c>
      <c r="N36" s="31">
        <f>Tabla2[[#This Row],[Subtotal ARS]]+(Tabla2[[#This Row],[Subtotal ARS]]*Tabla2[[#This Row],[IVA]])</f>
        <v>157300</v>
      </c>
      <c r="O36" s="31">
        <f>Tabla2[[#This Row],[TOTAL ARS]]/Tabla2[[#This Row],[TC BNA]]</f>
        <v>110</v>
      </c>
      <c r="P36" s="21">
        <f>_xlfn.XLOOKUP(A36,'TC_BNA xlsx'!A:A,'TC_BNA xlsx'!C:C,"No encontrado")</f>
        <v>1430</v>
      </c>
      <c r="Q36" s="23"/>
      <c r="R36" s="6"/>
      <c r="S36" s="6"/>
    </row>
    <row r="37" spans="1:30" x14ac:dyDescent="0.25">
      <c r="A37" s="20">
        <v>46170</v>
      </c>
      <c r="B37" s="21">
        <f>MONTH(Tabla2[[#This Row],[Fecha]])</f>
        <v>5</v>
      </c>
      <c r="C37" s="22" t="s">
        <v>89</v>
      </c>
      <c r="D37" s="23" t="str">
        <f>IFERROR(_xlfn.XLOOKUP(Tabla2[[#This Row],[Artículo]],Tabla1[Artículos],Tabla1[Rubro]),"")</f>
        <v>Embalaje</v>
      </c>
      <c r="E37" s="24" t="s">
        <v>124</v>
      </c>
      <c r="F37" s="25">
        <v>187</v>
      </c>
      <c r="G37" s="24" t="s">
        <v>150</v>
      </c>
      <c r="H37" s="26">
        <v>4592</v>
      </c>
      <c r="I37" s="27">
        <f>Tabla2[[#This Row],[Precio Unitario ARS]]/Tabla2[[#This Row],[TC BNA]]</f>
        <v>3.2111888111888112</v>
      </c>
      <c r="J37" s="28">
        <v>0</v>
      </c>
      <c r="K37" s="24" t="s">
        <v>19</v>
      </c>
      <c r="L37" s="29">
        <v>0.21</v>
      </c>
      <c r="M37" s="30">
        <f>(Tabla2[[#This Row],[Precio Unitario ARS]]-(Tabla2[[#This Row],[Precio Unitario ARS]]*Tabla2[[#This Row],[DTO]]))*Tabla2[[#This Row],[Cantidad]]</f>
        <v>858704</v>
      </c>
      <c r="N37" s="31">
        <f>Tabla2[[#This Row],[Subtotal ARS]]+(Tabla2[[#This Row],[Subtotal ARS]]*Tabla2[[#This Row],[IVA]])</f>
        <v>1039031.84</v>
      </c>
      <c r="O37" s="31">
        <f>Tabla2[[#This Row],[TOTAL ARS]]/Tabla2[[#This Row],[TC BNA]]</f>
        <v>726.59569230769227</v>
      </c>
      <c r="P37" s="21">
        <f>_xlfn.XLOOKUP(A37,'TC_BNA xlsx'!A:A,'TC_BNA xlsx'!C:C,"No encontrado")</f>
        <v>1430</v>
      </c>
      <c r="Q37" s="23" t="s">
        <v>237</v>
      </c>
      <c r="R37" s="6"/>
      <c r="S37" s="6"/>
    </row>
    <row r="38" spans="1:30" x14ac:dyDescent="0.25">
      <c r="A38" s="20">
        <v>46170</v>
      </c>
      <c r="B38" s="21">
        <f>MONTH(Tabla2[[#This Row],[Fecha]])</f>
        <v>5</v>
      </c>
      <c r="C38" s="22" t="s">
        <v>92</v>
      </c>
      <c r="D38" s="23" t="str">
        <f>IFERROR(_xlfn.XLOOKUP(Tabla2[[#This Row],[Artículo]],Tabla1[Artículos],Tabla1[Rubro]),"")</f>
        <v>Embalaje</v>
      </c>
      <c r="E38" s="24" t="s">
        <v>124</v>
      </c>
      <c r="F38" s="25">
        <v>31</v>
      </c>
      <c r="G38" s="24" t="s">
        <v>150</v>
      </c>
      <c r="H38" s="26">
        <v>4547.6000000000004</v>
      </c>
      <c r="I38" s="27">
        <f>Tabla2[[#This Row],[Precio Unitario ARS]]/Tabla2[[#This Row],[TC BNA]]</f>
        <v>3.1801398601398603</v>
      </c>
      <c r="J38" s="28">
        <v>0</v>
      </c>
      <c r="K38" s="24" t="s">
        <v>19</v>
      </c>
      <c r="L38" s="29">
        <v>0.21</v>
      </c>
      <c r="M38" s="30">
        <f>(Tabla2[[#This Row],[Precio Unitario ARS]]-(Tabla2[[#This Row],[Precio Unitario ARS]]*Tabla2[[#This Row],[DTO]]))*Tabla2[[#This Row],[Cantidad]]</f>
        <v>140975.6</v>
      </c>
      <c r="N38" s="31">
        <f>Tabla2[[#This Row],[Subtotal ARS]]+(Tabla2[[#This Row],[Subtotal ARS]]*Tabla2[[#This Row],[IVA]])</f>
        <v>170580.476</v>
      </c>
      <c r="O38" s="31">
        <f>Tabla2[[#This Row],[TOTAL ARS]]/Tabla2[[#This Row],[TC BNA]]</f>
        <v>119.28704615384615</v>
      </c>
      <c r="P38" s="21">
        <f>_xlfn.XLOOKUP(A38,'TC_BNA xlsx'!A:A,'TC_BNA xlsx'!C:C,"No encontrado")</f>
        <v>1430</v>
      </c>
      <c r="Q38" s="23"/>
      <c r="R38" s="6"/>
      <c r="S38" s="6"/>
    </row>
    <row r="39" spans="1:30" x14ac:dyDescent="0.25">
      <c r="A39" s="20">
        <v>46170</v>
      </c>
      <c r="B39" s="21">
        <f>MONTH(Tabla2[[#This Row],[Fecha]])</f>
        <v>5</v>
      </c>
      <c r="C39" s="22" t="s">
        <v>54</v>
      </c>
      <c r="D39" s="23" t="str">
        <f>IFERROR(_xlfn.XLOOKUP(Tabla2[[#This Row],[Artículo]],Tabla1[Artículos],Tabla1[Rubro]),"")</f>
        <v>Embalaje</v>
      </c>
      <c r="E39" s="24" t="s">
        <v>16</v>
      </c>
      <c r="F39" s="25">
        <v>20</v>
      </c>
      <c r="G39" s="24" t="s">
        <v>17</v>
      </c>
      <c r="H39" s="26">
        <v>22056.94</v>
      </c>
      <c r="I39" s="27">
        <f>Tabla2[[#This Row],[Precio Unitario ARS]]/Tabla2[[#This Row],[TC BNA]]</f>
        <v>15.424433566433565</v>
      </c>
      <c r="J39" s="28">
        <v>0.4</v>
      </c>
      <c r="K39" s="24" t="s">
        <v>19</v>
      </c>
      <c r="L39" s="29">
        <v>0.21</v>
      </c>
      <c r="M39" s="30">
        <f>(Tabla2[[#This Row],[Precio Unitario ARS]]-(Tabla2[[#This Row],[Precio Unitario ARS]]*Tabla2[[#This Row],[DTO]]))*Tabla2[[#This Row],[Cantidad]]</f>
        <v>264683.27999999997</v>
      </c>
      <c r="N39" s="31">
        <f>Tabla2[[#This Row],[Subtotal ARS]]+(Tabla2[[#This Row],[Subtotal ARS]]*Tabla2[[#This Row],[IVA]])</f>
        <v>320266.76879999996</v>
      </c>
      <c r="O39" s="31">
        <f>Tabla2[[#This Row],[TOTAL ARS]]/Tabla2[[#This Row],[TC BNA]]</f>
        <v>223.96277538461536</v>
      </c>
      <c r="P39" s="21">
        <f>_xlfn.XLOOKUP(A39,'TC_BNA xlsx'!A:A,'TC_BNA xlsx'!C:C,"No encontrado")</f>
        <v>1430</v>
      </c>
      <c r="Q39" s="23"/>
      <c r="R39" s="6"/>
      <c r="S39" s="6"/>
    </row>
    <row r="40" spans="1:30" x14ac:dyDescent="0.25">
      <c r="A40" s="20">
        <v>46170</v>
      </c>
      <c r="B40" s="21">
        <f>MONTH(Tabla2[[#This Row],[Fecha]])</f>
        <v>5</v>
      </c>
      <c r="C40" s="22" t="s">
        <v>216</v>
      </c>
      <c r="D40" s="23" t="str">
        <f>IFERROR(_xlfn.XLOOKUP(Tabla2[[#This Row],[Artículo]],Tabla1[Artículos],Tabla1[Rubro]),"")</f>
        <v>EPP</v>
      </c>
      <c r="E40" s="24" t="s">
        <v>119</v>
      </c>
      <c r="F40" s="25">
        <v>2</v>
      </c>
      <c r="G40" s="24" t="s">
        <v>25</v>
      </c>
      <c r="H40" s="26">
        <f>2.77*1430</f>
        <v>3961.1</v>
      </c>
      <c r="I40" s="27">
        <f>Tabla2[[#This Row],[Precio Unitario ARS]]/Tabla2[[#This Row],[TC BNA]]</f>
        <v>2.77</v>
      </c>
      <c r="J40" s="28">
        <v>0</v>
      </c>
      <c r="K40" s="24" t="s">
        <v>19</v>
      </c>
      <c r="L40" s="29">
        <v>0.21</v>
      </c>
      <c r="M40" s="30">
        <f>(Tabla2[[#This Row],[Precio Unitario ARS]]-(Tabla2[[#This Row],[Precio Unitario ARS]]*Tabla2[[#This Row],[DTO]]))*Tabla2[[#This Row],[Cantidad]]</f>
        <v>7922.2</v>
      </c>
      <c r="N40" s="31">
        <f>Tabla2[[#This Row],[Subtotal ARS]]+(Tabla2[[#This Row],[Subtotal ARS]]*Tabla2[[#This Row],[IVA]])</f>
        <v>9585.8619999999992</v>
      </c>
      <c r="O40" s="31">
        <f>Tabla2[[#This Row],[TOTAL ARS]]/Tabla2[[#This Row],[TC BNA]]</f>
        <v>6.7033999999999994</v>
      </c>
      <c r="P40" s="21">
        <f>_xlfn.XLOOKUP(A40,'TC_BNA xlsx'!A:A,'TC_BNA xlsx'!C:C,"No encontrado")</f>
        <v>1430</v>
      </c>
      <c r="Q40" s="23"/>
      <c r="R40" s="6"/>
      <c r="S40" s="6"/>
    </row>
    <row r="41" spans="1:30" x14ac:dyDescent="0.25">
      <c r="A41" s="20">
        <v>46170</v>
      </c>
      <c r="B41" s="21">
        <f>MONTH(Tabla2[[#This Row],[Fecha]])</f>
        <v>5</v>
      </c>
      <c r="C41" s="22" t="s">
        <v>218</v>
      </c>
      <c r="D41" s="23" t="str">
        <f>IFERROR(_xlfn.XLOOKUP(Tabla2[[#This Row],[Artículo]],Tabla1[Artículos],Tabla1[Rubro]),"")</f>
        <v>EPP</v>
      </c>
      <c r="E41" s="24" t="s">
        <v>119</v>
      </c>
      <c r="F41" s="25">
        <v>2</v>
      </c>
      <c r="G41" s="24" t="s">
        <v>25</v>
      </c>
      <c r="H41" s="26">
        <f>4.41*1430</f>
        <v>6306.3</v>
      </c>
      <c r="I41" s="27">
        <f>Tabla2[[#This Row],[Precio Unitario ARS]]/Tabla2[[#This Row],[TC BNA]]</f>
        <v>4.41</v>
      </c>
      <c r="J41" s="28">
        <v>0</v>
      </c>
      <c r="K41" s="24" t="s">
        <v>19</v>
      </c>
      <c r="L41" s="29">
        <v>0.21</v>
      </c>
      <c r="M41" s="30">
        <f>(Tabla2[[#This Row],[Precio Unitario ARS]]-(Tabla2[[#This Row],[Precio Unitario ARS]]*Tabla2[[#This Row],[DTO]]))*Tabla2[[#This Row],[Cantidad]]</f>
        <v>12612.6</v>
      </c>
      <c r="N41" s="31">
        <f>Tabla2[[#This Row],[Subtotal ARS]]+(Tabla2[[#This Row],[Subtotal ARS]]*Tabla2[[#This Row],[IVA]])</f>
        <v>15261.246000000001</v>
      </c>
      <c r="O41" s="31">
        <f>Tabla2[[#This Row],[TOTAL ARS]]/Tabla2[[#This Row],[TC BNA]]</f>
        <v>10.6722</v>
      </c>
      <c r="P41" s="21">
        <f>_xlfn.XLOOKUP(A41,'TC_BNA xlsx'!A:A,'TC_BNA xlsx'!C:C,"No encontrado")</f>
        <v>1430</v>
      </c>
      <c r="Q41" s="23"/>
      <c r="R41" s="6"/>
      <c r="S41" s="6"/>
    </row>
    <row r="42" spans="1:30" x14ac:dyDescent="0.25">
      <c r="A42" s="20">
        <v>46171</v>
      </c>
      <c r="B42" s="21">
        <f>MONTH(Tabla2[[#This Row],[Fecha]])</f>
        <v>5</v>
      </c>
      <c r="C42" s="22" t="s">
        <v>93</v>
      </c>
      <c r="D42" s="23" t="str">
        <f>IFERROR(_xlfn.XLOOKUP(Tabla2[[#This Row],[Artículo]],Tabla1[Artículos],Tabla1[Rubro]),"")</f>
        <v>Soldadura</v>
      </c>
      <c r="E42" s="24" t="s">
        <v>121</v>
      </c>
      <c r="F42" s="25">
        <v>10</v>
      </c>
      <c r="G42" s="24" t="s">
        <v>156</v>
      </c>
      <c r="H42" s="26">
        <v>17500</v>
      </c>
      <c r="I42" s="27">
        <f>Tabla2[[#This Row],[Precio Unitario ARS]]/Tabla2[[#This Row],[TC BNA]]</f>
        <v>12.237762237762238</v>
      </c>
      <c r="J42" s="28">
        <v>0</v>
      </c>
      <c r="K42" s="24" t="s">
        <v>19</v>
      </c>
      <c r="L42" s="29"/>
      <c r="M42" s="30">
        <f>(Tabla2[[#This Row],[Precio Unitario ARS]]-(Tabla2[[#This Row],[Precio Unitario ARS]]*Tabla2[[#This Row],[DTO]]))*Tabla2[[#This Row],[Cantidad]]</f>
        <v>175000</v>
      </c>
      <c r="N42" s="31">
        <f>Tabla2[[#This Row],[Subtotal ARS]]+(Tabla2[[#This Row],[Subtotal ARS]]*Tabla2[[#This Row],[IVA]])</f>
        <v>175000</v>
      </c>
      <c r="O42" s="31">
        <f>Tabla2[[#This Row],[TOTAL ARS]]/Tabla2[[#This Row],[TC BNA]]</f>
        <v>122.37762237762237</v>
      </c>
      <c r="P42" s="21">
        <f>_xlfn.XLOOKUP(A42,'TC_BNA xlsx'!A:A,'TC_BNA xlsx'!C:C,"No encontrado")</f>
        <v>1430</v>
      </c>
      <c r="Q42" s="23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x14ac:dyDescent="0.25">
      <c r="A43" s="20">
        <v>46171</v>
      </c>
      <c r="B43" s="21">
        <f>MONTH(Tabla2[[#This Row],[Fecha]])</f>
        <v>5</v>
      </c>
      <c r="C43" s="22" t="s">
        <v>81</v>
      </c>
      <c r="D43" s="23" t="str">
        <f>IFERROR(_xlfn.XLOOKUP(Tabla2[[#This Row],[Artículo]],Tabla1[Artículos],Tabla1[Rubro]),"")</f>
        <v>Soldadura</v>
      </c>
      <c r="E43" s="24" t="s">
        <v>121</v>
      </c>
      <c r="F43" s="25">
        <v>2</v>
      </c>
      <c r="G43" s="24" t="s">
        <v>164</v>
      </c>
      <c r="H43" s="26">
        <v>80000</v>
      </c>
      <c r="I43" s="27">
        <f>Tabla2[[#This Row],[Precio Unitario ARS]]/Tabla2[[#This Row],[TC BNA]]</f>
        <v>55.944055944055947</v>
      </c>
      <c r="J43" s="28">
        <v>0</v>
      </c>
      <c r="K43" s="24" t="s">
        <v>19</v>
      </c>
      <c r="L43" s="29"/>
      <c r="M43" s="30">
        <f>(Tabla2[[#This Row],[Precio Unitario ARS]]-(Tabla2[[#This Row],[Precio Unitario ARS]]*Tabla2[[#This Row],[DTO]]))*Tabla2[[#This Row],[Cantidad]]</f>
        <v>160000</v>
      </c>
      <c r="N43" s="31">
        <f>Tabla2[[#This Row],[Subtotal ARS]]+(Tabla2[[#This Row],[Subtotal ARS]]*Tabla2[[#This Row],[IVA]])</f>
        <v>160000</v>
      </c>
      <c r="O43" s="31">
        <f>Tabla2[[#This Row],[TOTAL ARS]]/Tabla2[[#This Row],[TC BNA]]</f>
        <v>111.88811188811189</v>
      </c>
      <c r="P43" s="21">
        <f>_xlfn.XLOOKUP(A43,'TC_BNA xlsx'!A:A,'TC_BNA xlsx'!C:C,"No encontrado")</f>
        <v>1430</v>
      </c>
      <c r="Q43" s="23"/>
      <c r="R43" s="6"/>
      <c r="S43" s="6"/>
    </row>
    <row r="44" spans="1:30" x14ac:dyDescent="0.25">
      <c r="A44" s="20">
        <v>46174</v>
      </c>
      <c r="B44" s="21">
        <f>MONTH(Tabla2[[#This Row],[Fecha]])</f>
        <v>6</v>
      </c>
      <c r="C44" s="22" t="s">
        <v>222</v>
      </c>
      <c r="D44" s="23" t="str">
        <f>IFERROR(_xlfn.XLOOKUP(Tabla2[[#This Row],[Artículo]],Tabla1[Artículos],Tabla1[Rubro]),"")</f>
        <v>Servicio</v>
      </c>
      <c r="E44" s="24" t="s">
        <v>175</v>
      </c>
      <c r="F44" s="25">
        <v>726</v>
      </c>
      <c r="G44" s="24" t="s">
        <v>25</v>
      </c>
      <c r="H44" s="26">
        <v>517</v>
      </c>
      <c r="I44" s="27">
        <f>Tabla2[[#This Row],[Precio Unitario ARS]]/Tabla2[[#This Row],[TC BNA]]</f>
        <v>0.35778546712802767</v>
      </c>
      <c r="J44" s="28">
        <v>0</v>
      </c>
      <c r="K44" s="24" t="s">
        <v>19</v>
      </c>
      <c r="L44" s="29"/>
      <c r="M44" s="30">
        <f>(Tabla2[[#This Row],[Precio Unitario ARS]]-(Tabla2[[#This Row],[Precio Unitario ARS]]*Tabla2[[#This Row],[DTO]]))*Tabla2[[#This Row],[Cantidad]]</f>
        <v>375342</v>
      </c>
      <c r="N44" s="31">
        <f>Tabla2[[#This Row],[Subtotal ARS]]+(Tabla2[[#This Row],[Subtotal ARS]]*Tabla2[[#This Row],[IVA]])</f>
        <v>375342</v>
      </c>
      <c r="O44" s="31">
        <f>Tabla2[[#This Row],[TOTAL ARS]]/Tabla2[[#This Row],[TC BNA]]</f>
        <v>259.7522491349481</v>
      </c>
      <c r="P44" s="21">
        <f>_xlfn.XLOOKUP(A44,'TC_BNA xlsx'!A:A,'TC_BNA xlsx'!C:C,"No encontrado")</f>
        <v>1445</v>
      </c>
      <c r="Q44" s="23" t="s">
        <v>224</v>
      </c>
      <c r="R44" s="6"/>
      <c r="S44" s="6"/>
      <c r="T44" s="6"/>
      <c r="U44" s="6"/>
    </row>
    <row r="45" spans="1:30" x14ac:dyDescent="0.25">
      <c r="A45" s="20">
        <v>46175</v>
      </c>
      <c r="B45" s="21">
        <f>MONTH(Tabla2[[#This Row],[Fecha]])</f>
        <v>6</v>
      </c>
      <c r="C45" s="22" t="s">
        <v>94</v>
      </c>
      <c r="D45" s="23" t="str">
        <f>IFERROR(_xlfn.XLOOKUP(Tabla2[[#This Row],[Artículo]],Tabla1[Artículos],Tabla1[Rubro]),"")</f>
        <v>Soldadura</v>
      </c>
      <c r="E45" s="24" t="s">
        <v>121</v>
      </c>
      <c r="F45" s="25">
        <v>30</v>
      </c>
      <c r="G45" s="24" t="s">
        <v>156</v>
      </c>
      <c r="H45" s="26">
        <v>4500</v>
      </c>
      <c r="I45" s="27">
        <f>Tabla2[[#This Row],[Precio Unitario ARS]]/Tabla2[[#This Row],[TC BNA]]</f>
        <v>3.103448275862069</v>
      </c>
      <c r="J45" s="28">
        <v>0</v>
      </c>
      <c r="K45" s="24" t="s">
        <v>19</v>
      </c>
      <c r="L45" s="29"/>
      <c r="M45" s="30">
        <f>(Tabla2[[#This Row],[Precio Unitario ARS]]-(Tabla2[[#This Row],[Precio Unitario ARS]]*Tabla2[[#This Row],[DTO]]))*Tabla2[[#This Row],[Cantidad]]</f>
        <v>135000</v>
      </c>
      <c r="N45" s="31">
        <f>Tabla2[[#This Row],[Subtotal ARS]]+(Tabla2[[#This Row],[Subtotal ARS]]*Tabla2[[#This Row],[IVA]])</f>
        <v>135000</v>
      </c>
      <c r="O45" s="31">
        <f>Tabla2[[#This Row],[TOTAL ARS]]/Tabla2[[#This Row],[TC BNA]]</f>
        <v>93.103448275862064</v>
      </c>
      <c r="P45" s="21">
        <f>_xlfn.XLOOKUP(A45,'TC_BNA xlsx'!A:A,'TC_BNA xlsx'!C:C,"No encontrado")</f>
        <v>1450</v>
      </c>
      <c r="Q45" s="23"/>
      <c r="R45" s="6"/>
      <c r="S45" s="6"/>
      <c r="T45" s="6"/>
      <c r="U45" s="6"/>
    </row>
    <row r="46" spans="1:30" x14ac:dyDescent="0.25">
      <c r="A46" s="20">
        <v>46175</v>
      </c>
      <c r="B46" s="21">
        <f>MONTH(Tabla2[[#This Row],[Fecha]])</f>
        <v>6</v>
      </c>
      <c r="C46" s="22" t="s">
        <v>75</v>
      </c>
      <c r="D46" s="23" t="str">
        <f>IFERROR(_xlfn.XLOOKUP(Tabla2[[#This Row],[Artículo]],Tabla1[Artículos],Tabla1[Rubro]),"")</f>
        <v>EPP</v>
      </c>
      <c r="E46" s="24" t="s">
        <v>119</v>
      </c>
      <c r="F46" s="25">
        <v>24</v>
      </c>
      <c r="G46" s="24" t="s">
        <v>23</v>
      </c>
      <c r="H46" s="26">
        <f>2.9*1430</f>
        <v>4147</v>
      </c>
      <c r="I46" s="27">
        <f>Tabla2[[#This Row],[Precio Unitario ARS]]/Tabla2[[#This Row],[TC BNA]]</f>
        <v>2.86</v>
      </c>
      <c r="J46" s="28">
        <v>0</v>
      </c>
      <c r="K46" s="24" t="s">
        <v>19</v>
      </c>
      <c r="L46" s="29">
        <v>0.21</v>
      </c>
      <c r="M46" s="30">
        <f>(Tabla2[[#This Row],[Precio Unitario ARS]]-(Tabla2[[#This Row],[Precio Unitario ARS]]*Tabla2[[#This Row],[DTO]]))*Tabla2[[#This Row],[Cantidad]]</f>
        <v>99528</v>
      </c>
      <c r="N46" s="31">
        <f>Tabla2[[#This Row],[Subtotal ARS]]+(Tabla2[[#This Row],[Subtotal ARS]]*Tabla2[[#This Row],[IVA]])</f>
        <v>120428.88</v>
      </c>
      <c r="O46" s="31">
        <f>Tabla2[[#This Row],[TOTAL ARS]]/Tabla2[[#This Row],[TC BNA]]</f>
        <v>83.054400000000001</v>
      </c>
      <c r="P46" s="21">
        <f>_xlfn.XLOOKUP(A46,'TC_BNA xlsx'!A:A,'TC_BNA xlsx'!C:C,"No encontrado")</f>
        <v>1450</v>
      </c>
      <c r="Q46" s="23"/>
      <c r="R46" s="6"/>
      <c r="S46" s="6"/>
      <c r="T46" s="6"/>
      <c r="U46" s="6"/>
    </row>
    <row r="47" spans="1:30" x14ac:dyDescent="0.25">
      <c r="A47" s="20">
        <v>46176</v>
      </c>
      <c r="B47" s="21">
        <f>MONTH(Tabla2[[#This Row],[Fecha]])</f>
        <v>6</v>
      </c>
      <c r="C47" s="22" t="s">
        <v>76</v>
      </c>
      <c r="D47" s="23" t="str">
        <f>IFERROR(_xlfn.XLOOKUP(Tabla2[[#This Row],[Artículo]],Tabla1[Artículos],Tabla1[Rubro]),"")</f>
        <v>EPP</v>
      </c>
      <c r="E47" s="24" t="s">
        <v>22</v>
      </c>
      <c r="F47" s="25">
        <v>24</v>
      </c>
      <c r="G47" s="24" t="s">
        <v>23</v>
      </c>
      <c r="H47" s="26">
        <v>637</v>
      </c>
      <c r="I47" s="27">
        <f>Tabla2[[#This Row],[Precio Unitario ARS]]/Tabla2[[#This Row],[TC BNA]]</f>
        <v>0.43630136986301371</v>
      </c>
      <c r="J47" s="28">
        <v>0</v>
      </c>
      <c r="K47" s="24" t="s">
        <v>19</v>
      </c>
      <c r="L47" s="29">
        <v>0.21</v>
      </c>
      <c r="M47" s="30">
        <f>(Tabla2[[#This Row],[Precio Unitario ARS]]-(Tabla2[[#This Row],[Precio Unitario ARS]]*Tabla2[[#This Row],[DTO]]))*Tabla2[[#This Row],[Cantidad]]</f>
        <v>15288</v>
      </c>
      <c r="N47" s="31">
        <f>Tabla2[[#This Row],[Subtotal ARS]]+(Tabla2[[#This Row],[Subtotal ARS]]*Tabla2[[#This Row],[IVA]])</f>
        <v>18498.48</v>
      </c>
      <c r="O47" s="31">
        <f>Tabla2[[#This Row],[TOTAL ARS]]/Tabla2[[#This Row],[TC BNA]]</f>
        <v>12.670191780821918</v>
      </c>
      <c r="P47" s="21">
        <f>_xlfn.XLOOKUP(A47,'TC_BNA xlsx'!A:A,'TC_BNA xlsx'!C:C,"No encontrado")</f>
        <v>1460</v>
      </c>
      <c r="Q47" s="23"/>
      <c r="R47" s="6"/>
      <c r="S47" s="6"/>
      <c r="T47" s="6"/>
      <c r="U47" s="6"/>
    </row>
    <row r="48" spans="1:30" x14ac:dyDescent="0.25">
      <c r="A48" s="20">
        <v>46176</v>
      </c>
      <c r="B48" s="21">
        <f>MONTH(Tabla2[[#This Row],[Fecha]])</f>
        <v>6</v>
      </c>
      <c r="C48" s="22" t="s">
        <v>77</v>
      </c>
      <c r="D48" s="23" t="str">
        <f>IFERROR(_xlfn.XLOOKUP(Tabla2[[#This Row],[Artículo]],Tabla1[Artículos],Tabla1[Rubro]),"")</f>
        <v>EPP</v>
      </c>
      <c r="E48" s="24" t="s">
        <v>22</v>
      </c>
      <c r="F48" s="25">
        <v>24</v>
      </c>
      <c r="G48" s="24" t="s">
        <v>23</v>
      </c>
      <c r="H48" s="26">
        <v>637</v>
      </c>
      <c r="I48" s="27">
        <f>Tabla2[[#This Row],[Precio Unitario ARS]]/Tabla2[[#This Row],[TC BNA]]</f>
        <v>0.43630136986301371</v>
      </c>
      <c r="J48" s="28">
        <v>0</v>
      </c>
      <c r="K48" s="24" t="s">
        <v>19</v>
      </c>
      <c r="L48" s="29">
        <v>0.21</v>
      </c>
      <c r="M48" s="30">
        <f>(Tabla2[[#This Row],[Precio Unitario ARS]]-(Tabla2[[#This Row],[Precio Unitario ARS]]*Tabla2[[#This Row],[DTO]]))*Tabla2[[#This Row],[Cantidad]]</f>
        <v>15288</v>
      </c>
      <c r="N48" s="31">
        <f>Tabla2[[#This Row],[Subtotal ARS]]+(Tabla2[[#This Row],[Subtotal ARS]]*Tabla2[[#This Row],[IVA]])</f>
        <v>18498.48</v>
      </c>
      <c r="O48" s="31">
        <f>Tabla2[[#This Row],[TOTAL ARS]]/Tabla2[[#This Row],[TC BNA]]</f>
        <v>12.670191780821918</v>
      </c>
      <c r="P48" s="21">
        <f>_xlfn.XLOOKUP(A48,'TC_BNA xlsx'!A:A,'TC_BNA xlsx'!C:C,"No encontrado")</f>
        <v>1460</v>
      </c>
      <c r="Q48" s="23"/>
      <c r="R48" s="6"/>
      <c r="S48" s="6"/>
      <c r="T48" s="6"/>
      <c r="U48" s="6"/>
    </row>
    <row r="49" spans="1:21" x14ac:dyDescent="0.25">
      <c r="A49" s="20">
        <v>46176</v>
      </c>
      <c r="B49" s="21">
        <f>MONTH(Tabla2[[#This Row],[Fecha]])</f>
        <v>6</v>
      </c>
      <c r="C49" s="22" t="s">
        <v>220</v>
      </c>
      <c r="D49" s="23" t="str">
        <f>IFERROR(_xlfn.XLOOKUP(Tabla2[[#This Row],[Artículo]],Tabla1[Artículos],Tabla1[Rubro]),"")</f>
        <v>Embalaje</v>
      </c>
      <c r="E49" s="24" t="s">
        <v>24</v>
      </c>
      <c r="F49" s="25">
        <v>400</v>
      </c>
      <c r="G49" s="24" t="s">
        <v>25</v>
      </c>
      <c r="H49" s="26">
        <v>1659.6636000000001</v>
      </c>
      <c r="I49" s="27">
        <f>Tabla2[[#This Row],[Precio Unitario ARS]]/Tabla2[[#This Row],[TC BNA]]</f>
        <v>1.1367558904109589</v>
      </c>
      <c r="J49" s="28">
        <v>0.1</v>
      </c>
      <c r="K49" s="24" t="s">
        <v>19</v>
      </c>
      <c r="L49" s="29">
        <v>0.21</v>
      </c>
      <c r="M49" s="30">
        <f>(Tabla2[[#This Row],[Precio Unitario ARS]]-(Tabla2[[#This Row],[Precio Unitario ARS]]*Tabla2[[#This Row],[DTO]]))*Tabla2[[#This Row],[Cantidad]]</f>
        <v>597478.89599999995</v>
      </c>
      <c r="N49" s="31">
        <f>Tabla2[[#This Row],[Subtotal ARS]]+(Tabla2[[#This Row],[Subtotal ARS]]*Tabla2[[#This Row],[IVA]])</f>
        <v>722949.46415999997</v>
      </c>
      <c r="O49" s="31">
        <f>Tabla2[[#This Row],[TOTAL ARS]]/Tabla2[[#This Row],[TC BNA]]</f>
        <v>495.17086586301366</v>
      </c>
      <c r="P49" s="21">
        <f>_xlfn.XLOOKUP(A49,'TC_BNA xlsx'!A:A,'TC_BNA xlsx'!C:C,"No encontrado")</f>
        <v>1460</v>
      </c>
      <c r="Q49" s="23" t="s">
        <v>221</v>
      </c>
      <c r="R49" s="6"/>
      <c r="S49" s="6"/>
      <c r="T49" s="6"/>
      <c r="U49" s="6"/>
    </row>
    <row r="50" spans="1:21" x14ac:dyDescent="0.25">
      <c r="A50" s="32">
        <v>46176</v>
      </c>
      <c r="B50" s="21">
        <f>MONTH(Tabla2[[#This Row],[Fecha]])</f>
        <v>6</v>
      </c>
      <c r="C50" s="22" t="s">
        <v>312</v>
      </c>
      <c r="D50" s="23" t="str">
        <f>IFERROR(_xlfn.XLOOKUP(Tabla2[[#This Row],[Artículo]],Tabla1[Artículos],Tabla1[Rubro]),"")</f>
        <v>Herramientas</v>
      </c>
      <c r="E50" s="33" t="s">
        <v>118</v>
      </c>
      <c r="F50" s="34">
        <v>2</v>
      </c>
      <c r="G50" s="33" t="s">
        <v>25</v>
      </c>
      <c r="H50" s="35">
        <v>28000</v>
      </c>
      <c r="I50" s="36">
        <f>Tabla2[[#This Row],[Precio Unitario ARS]]/Tabla2[[#This Row],[TC BNA]]</f>
        <v>19.17808219178082</v>
      </c>
      <c r="J50" s="28">
        <v>0.1</v>
      </c>
      <c r="K50" s="33" t="s">
        <v>19</v>
      </c>
      <c r="L50" s="37">
        <v>0.21</v>
      </c>
      <c r="M50" s="38">
        <f>(Tabla2[[#This Row],[Precio Unitario ARS]]-(Tabla2[[#This Row],[Precio Unitario ARS]]*Tabla2[[#This Row],[DTO]]))*Tabla2[[#This Row],[Cantidad]]</f>
        <v>50400</v>
      </c>
      <c r="N50" s="39">
        <f>Tabla2[[#This Row],[Subtotal ARS]]+(Tabla2[[#This Row],[Subtotal ARS]]*Tabla2[[#This Row],[IVA]])</f>
        <v>60984</v>
      </c>
      <c r="O50" s="39">
        <f>Tabla2[[#This Row],[TOTAL ARS]]/Tabla2[[#This Row],[TC BNA]]</f>
        <v>41.769863013698632</v>
      </c>
      <c r="P50" s="40">
        <f>_xlfn.XLOOKUP(A50,'TC_BNA xlsx'!A:A,'TC_BNA xlsx'!C:C,"No encontrado")</f>
        <v>1460</v>
      </c>
      <c r="Q50" s="22"/>
      <c r="R50" s="6"/>
      <c r="S50" s="6"/>
      <c r="T50" s="6"/>
      <c r="U50" s="6"/>
    </row>
    <row r="51" spans="1:21" x14ac:dyDescent="0.25">
      <c r="A51" s="32">
        <v>46176</v>
      </c>
      <c r="B51" s="21">
        <f>MONTH(Tabla2[[#This Row],[Fecha]])</f>
        <v>6</v>
      </c>
      <c r="C51" s="22" t="s">
        <v>67</v>
      </c>
      <c r="D51" s="23" t="str">
        <f>IFERROR(_xlfn.XLOOKUP(Tabla2[[#This Row],[Artículo]],Tabla1[Artículos],Tabla1[Rubro]),"")</f>
        <v>Herramientas</v>
      </c>
      <c r="E51" s="33" t="s">
        <v>118</v>
      </c>
      <c r="F51" s="34">
        <v>1</v>
      </c>
      <c r="G51" s="33" t="s">
        <v>25</v>
      </c>
      <c r="H51" s="35">
        <v>59500</v>
      </c>
      <c r="I51" s="36">
        <f>Tabla2[[#This Row],[Precio Unitario ARS]]/Tabla2[[#This Row],[TC BNA]]</f>
        <v>40.753424657534246</v>
      </c>
      <c r="J51" s="28">
        <v>0</v>
      </c>
      <c r="K51" s="33" t="s">
        <v>19</v>
      </c>
      <c r="L51" s="37">
        <v>0.21</v>
      </c>
      <c r="M51" s="38">
        <f>(Tabla2[[#This Row],[Precio Unitario ARS]]-(Tabla2[[#This Row],[Precio Unitario ARS]]*Tabla2[[#This Row],[DTO]]))*Tabla2[[#This Row],[Cantidad]]</f>
        <v>59500</v>
      </c>
      <c r="N51" s="39">
        <f>Tabla2[[#This Row],[Subtotal ARS]]+(Tabla2[[#This Row],[Subtotal ARS]]*Tabla2[[#This Row],[IVA]])</f>
        <v>71995</v>
      </c>
      <c r="O51" s="39">
        <f>Tabla2[[#This Row],[TOTAL ARS]]/Tabla2[[#This Row],[TC BNA]]</f>
        <v>49.311643835616437</v>
      </c>
      <c r="P51" s="40">
        <f>_xlfn.XLOOKUP(A51,'TC_BNA xlsx'!A:A,'TC_BNA xlsx'!C:C,"No encontrado")</f>
        <v>1460</v>
      </c>
      <c r="Q51" s="22"/>
      <c r="R51" s="6"/>
      <c r="S51" s="6"/>
      <c r="T51" s="6"/>
      <c r="U51" s="6"/>
    </row>
    <row r="52" spans="1:21" x14ac:dyDescent="0.25">
      <c r="A52" s="20">
        <v>46178</v>
      </c>
      <c r="B52" s="21">
        <f>MONTH(Tabla2[[#This Row],[Fecha]])</f>
        <v>6</v>
      </c>
      <c r="C52" s="22" t="s">
        <v>225</v>
      </c>
      <c r="D52" s="23" t="str">
        <f>IFERROR(_xlfn.XLOOKUP(Tabla2[[#This Row],[Artículo]],Tabla1[Artículos],Tabla1[Rubro]),"")</f>
        <v>Materia Prima</v>
      </c>
      <c r="E52" s="24" t="s">
        <v>226</v>
      </c>
      <c r="F52" s="25">
        <v>400</v>
      </c>
      <c r="G52" s="24" t="s">
        <v>227</v>
      </c>
      <c r="H52" s="26">
        <v>2170</v>
      </c>
      <c r="I52" s="27">
        <f>Tabla2[[#This Row],[Precio Unitario ARS]]/Tabla2[[#This Row],[TC BNA]]</f>
        <v>1.4863013698630136</v>
      </c>
      <c r="J52" s="28">
        <v>0</v>
      </c>
      <c r="K52" s="24" t="s">
        <v>19</v>
      </c>
      <c r="L52" s="29">
        <v>0.21</v>
      </c>
      <c r="M52" s="30">
        <f>(Tabla2[[#This Row],[Precio Unitario ARS]]-(Tabla2[[#This Row],[Precio Unitario ARS]]*Tabla2[[#This Row],[DTO]]))*Tabla2[[#This Row],[Cantidad]]</f>
        <v>868000</v>
      </c>
      <c r="N52" s="31">
        <f>Tabla2[[#This Row],[Subtotal ARS]]+(Tabla2[[#This Row],[Subtotal ARS]]*Tabla2[[#This Row],[IVA]])</f>
        <v>1050280</v>
      </c>
      <c r="O52" s="31">
        <f>Tabla2[[#This Row],[TOTAL ARS]]/Tabla2[[#This Row],[TC BNA]]</f>
        <v>719.36986301369859</v>
      </c>
      <c r="P52" s="21">
        <f>_xlfn.XLOOKUP(A52,'TC_BNA xlsx'!A:A,'TC_BNA xlsx'!C:C,"No encontrado")</f>
        <v>1460</v>
      </c>
      <c r="Q52" s="23"/>
      <c r="R52" s="6"/>
      <c r="S52" s="6"/>
      <c r="T52" s="6"/>
      <c r="U52" s="6"/>
    </row>
    <row r="53" spans="1:21" x14ac:dyDescent="0.25">
      <c r="A53" s="20">
        <v>46178</v>
      </c>
      <c r="B53" s="21">
        <f>MONTH(Tabla2[[#This Row],[Fecha]])</f>
        <v>6</v>
      </c>
      <c r="C53" s="22" t="s">
        <v>105</v>
      </c>
      <c r="D53" s="23" t="str">
        <f>IFERROR(_xlfn.XLOOKUP(Tabla2[[#This Row],[Artículo]],Tabla1[Artículos],Tabla1[Rubro]),"")</f>
        <v>Embalaje</v>
      </c>
      <c r="E53" s="24" t="s">
        <v>24</v>
      </c>
      <c r="F53" s="25">
        <v>300</v>
      </c>
      <c r="G53" s="24" t="s">
        <v>25</v>
      </c>
      <c r="H53" s="26">
        <v>1151.7874999999999</v>
      </c>
      <c r="I53" s="27">
        <f>Tabla2[[#This Row],[Precio Unitario ARS]]/Tabla2[[#This Row],[TC BNA]]</f>
        <v>0.78889554794520544</v>
      </c>
      <c r="J53" s="28">
        <v>0.1</v>
      </c>
      <c r="K53" s="24" t="s">
        <v>19</v>
      </c>
      <c r="L53" s="29">
        <v>0.21</v>
      </c>
      <c r="M53" s="30">
        <f>(Tabla2[[#This Row],[Precio Unitario ARS]]-(Tabla2[[#This Row],[Precio Unitario ARS]]*Tabla2[[#This Row],[DTO]]))*Tabla2[[#This Row],[Cantidad]]</f>
        <v>310982.62499999994</v>
      </c>
      <c r="N53" s="31">
        <f>Tabla2[[#This Row],[Subtotal ARS]]+(Tabla2[[#This Row],[Subtotal ARS]]*Tabla2[[#This Row],[IVA]])</f>
        <v>376288.97624999995</v>
      </c>
      <c r="O53" s="31">
        <f>Tabla2[[#This Row],[TOTAL ARS]]/Tabla2[[#This Row],[TC BNA]]</f>
        <v>257.73217551369862</v>
      </c>
      <c r="P53" s="21">
        <f>_xlfn.XLOOKUP(A53,'TC_BNA xlsx'!A:A,'TC_BNA xlsx'!C:C,"No encontrado")</f>
        <v>1460</v>
      </c>
      <c r="Q53" s="23"/>
      <c r="R53" s="6"/>
      <c r="S53" s="6"/>
      <c r="T53" s="6"/>
      <c r="U53" s="6"/>
    </row>
    <row r="54" spans="1:21" x14ac:dyDescent="0.25">
      <c r="A54" s="20">
        <v>46178</v>
      </c>
      <c r="B54" s="21">
        <f>MONTH(Tabla2[[#This Row],[Fecha]])</f>
        <v>6</v>
      </c>
      <c r="C54" s="22" t="s">
        <v>106</v>
      </c>
      <c r="D54" s="23" t="str">
        <f>IFERROR(_xlfn.XLOOKUP(Tabla2[[#This Row],[Artículo]],Tabla1[Artículos],Tabla1[Rubro]),"")</f>
        <v>Embalaje</v>
      </c>
      <c r="E54" s="24" t="s">
        <v>24</v>
      </c>
      <c r="F54" s="25">
        <v>200</v>
      </c>
      <c r="G54" s="24" t="s">
        <v>25</v>
      </c>
      <c r="H54" s="26">
        <v>814.51900000000001</v>
      </c>
      <c r="I54" s="27">
        <f>Tabla2[[#This Row],[Precio Unitario ARS]]/Tabla2[[#This Row],[TC BNA]]</f>
        <v>0.55788972602739728</v>
      </c>
      <c r="J54" s="28">
        <v>0.1</v>
      </c>
      <c r="K54" s="24" t="s">
        <v>19</v>
      </c>
      <c r="L54" s="29">
        <v>0.21</v>
      </c>
      <c r="M54" s="30">
        <f>(Tabla2[[#This Row],[Precio Unitario ARS]]-(Tabla2[[#This Row],[Precio Unitario ARS]]*Tabla2[[#This Row],[DTO]]))*Tabla2[[#This Row],[Cantidad]]</f>
        <v>146613.41999999998</v>
      </c>
      <c r="N54" s="31">
        <f>Tabla2[[#This Row],[Subtotal ARS]]+(Tabla2[[#This Row],[Subtotal ARS]]*Tabla2[[#This Row],[IVA]])</f>
        <v>177402.23819999996</v>
      </c>
      <c r="O54" s="31">
        <f>Tabla2[[#This Row],[TOTAL ARS]]/Tabla2[[#This Row],[TC BNA]]</f>
        <v>121.5083823287671</v>
      </c>
      <c r="P54" s="21">
        <f>_xlfn.XLOOKUP(A54,'TC_BNA xlsx'!A:A,'TC_BNA xlsx'!C:C,"No encontrado")</f>
        <v>1460</v>
      </c>
      <c r="Q54" s="23"/>
      <c r="R54" s="6"/>
      <c r="S54" s="6"/>
      <c r="T54" s="6"/>
      <c r="U54" s="6"/>
    </row>
    <row r="55" spans="1:21" x14ac:dyDescent="0.25">
      <c r="A55" s="20">
        <v>46178</v>
      </c>
      <c r="B55" s="21">
        <f>MONTH(Tabla2[[#This Row],[Fecha]])</f>
        <v>6</v>
      </c>
      <c r="C55" s="22" t="s">
        <v>152</v>
      </c>
      <c r="D55" s="23" t="str">
        <f>IFERROR(_xlfn.XLOOKUP(Tabla2[[#This Row],[Artículo]],Tabla1[Artículos],Tabla1[Rubro]),"")</f>
        <v>Reventa</v>
      </c>
      <c r="E55" s="24" t="s">
        <v>155</v>
      </c>
      <c r="F55" s="25">
        <v>1000</v>
      </c>
      <c r="G55" s="24" t="s">
        <v>25</v>
      </c>
      <c r="H55" s="26">
        <v>450</v>
      </c>
      <c r="I55" s="27">
        <f>Tabla2[[#This Row],[Precio Unitario ARS]]/Tabla2[[#This Row],[TC BNA]]</f>
        <v>0.30821917808219179</v>
      </c>
      <c r="J55" s="28">
        <v>0</v>
      </c>
      <c r="K55" s="24" t="s">
        <v>19</v>
      </c>
      <c r="L55" s="29">
        <v>0.21</v>
      </c>
      <c r="M55" s="30">
        <f>(Tabla2[[#This Row],[Precio Unitario ARS]]-(Tabla2[[#This Row],[Precio Unitario ARS]]*Tabla2[[#This Row],[DTO]]))*Tabla2[[#This Row],[Cantidad]]</f>
        <v>450000</v>
      </c>
      <c r="N55" s="31">
        <f>Tabla2[[#This Row],[Subtotal ARS]]+(Tabla2[[#This Row],[Subtotal ARS]]*Tabla2[[#This Row],[IVA]])</f>
        <v>544500</v>
      </c>
      <c r="O55" s="31">
        <f>Tabla2[[#This Row],[TOTAL ARS]]/Tabla2[[#This Row],[TC BNA]]</f>
        <v>372.94520547945206</v>
      </c>
      <c r="P55" s="21">
        <f>_xlfn.XLOOKUP(A55,'TC_BNA xlsx'!A:A,'TC_BNA xlsx'!C:C,"No encontrado")</f>
        <v>1460</v>
      </c>
      <c r="Q55" s="23"/>
      <c r="R55" s="6"/>
      <c r="S55" s="6"/>
      <c r="T55" s="6"/>
      <c r="U55" s="6"/>
    </row>
    <row r="56" spans="1:21" x14ac:dyDescent="0.25">
      <c r="A56" s="20">
        <v>46178</v>
      </c>
      <c r="B56" s="21">
        <f>MONTH(Tabla2[[#This Row],[Fecha]])</f>
        <v>6</v>
      </c>
      <c r="C56" s="22" t="s">
        <v>154</v>
      </c>
      <c r="D56" s="23" t="str">
        <f>IFERROR(_xlfn.XLOOKUP(Tabla2[[#This Row],[Artículo]],Tabla1[Artículos],Tabla1[Rubro]),"")</f>
        <v>Reventa</v>
      </c>
      <c r="E56" s="24" t="s">
        <v>155</v>
      </c>
      <c r="F56" s="25">
        <v>1500</v>
      </c>
      <c r="G56" s="24" t="s">
        <v>25</v>
      </c>
      <c r="H56" s="26">
        <v>717</v>
      </c>
      <c r="I56" s="27">
        <f>Tabla2[[#This Row],[Precio Unitario ARS]]/Tabla2[[#This Row],[TC BNA]]</f>
        <v>0.49109589041095891</v>
      </c>
      <c r="J56" s="28">
        <v>0</v>
      </c>
      <c r="K56" s="24" t="s">
        <v>19</v>
      </c>
      <c r="L56" s="29">
        <v>0.21</v>
      </c>
      <c r="M56" s="30">
        <f>(Tabla2[[#This Row],[Precio Unitario ARS]]-(Tabla2[[#This Row],[Precio Unitario ARS]]*Tabla2[[#This Row],[DTO]]))*Tabla2[[#This Row],[Cantidad]]</f>
        <v>1075500</v>
      </c>
      <c r="N56" s="31">
        <f>Tabla2[[#This Row],[Subtotal ARS]]+(Tabla2[[#This Row],[Subtotal ARS]]*Tabla2[[#This Row],[IVA]])</f>
        <v>1301355</v>
      </c>
      <c r="O56" s="31">
        <f>Tabla2[[#This Row],[TOTAL ARS]]/Tabla2[[#This Row],[TC BNA]]</f>
        <v>891.33904109589037</v>
      </c>
      <c r="P56" s="21">
        <f>_xlfn.XLOOKUP(A56,'TC_BNA xlsx'!A:A,'TC_BNA xlsx'!C:C,"No encontrado")</f>
        <v>1460</v>
      </c>
      <c r="Q56" s="23"/>
      <c r="R56" s="6"/>
      <c r="S56" s="6"/>
      <c r="T56" s="6"/>
      <c r="U56" s="6"/>
    </row>
    <row r="57" spans="1:21" x14ac:dyDescent="0.25">
      <c r="A57" s="20">
        <v>46181</v>
      </c>
      <c r="B57" s="21">
        <f>MONTH(Tabla2[[#This Row],[Fecha]])</f>
        <v>6</v>
      </c>
      <c r="C57" s="22" t="s">
        <v>228</v>
      </c>
      <c r="D57" s="23" t="str">
        <f>IFERROR(_xlfn.XLOOKUP(Tabla2[[#This Row],[Artículo]],Tabla1[Artículos],Tabla1[Rubro]),"")</f>
        <v>Soldadura</v>
      </c>
      <c r="E57" s="24" t="s">
        <v>112</v>
      </c>
      <c r="F57" s="25">
        <v>7</v>
      </c>
      <c r="G57" s="24" t="s">
        <v>25</v>
      </c>
      <c r="H57" s="26">
        <v>3212</v>
      </c>
      <c r="I57" s="27">
        <f>Tabla2[[#This Row],[Precio Unitario ARS]]/Tabla2[[#This Row],[TC BNA]]</f>
        <v>2.1924914675767919</v>
      </c>
      <c r="J57" s="28">
        <v>0</v>
      </c>
      <c r="K57" s="24" t="s">
        <v>19</v>
      </c>
      <c r="L57" s="29">
        <v>0.21</v>
      </c>
      <c r="M57" s="30">
        <f>(Tabla2[[#This Row],[Precio Unitario ARS]]-(Tabla2[[#This Row],[Precio Unitario ARS]]*Tabla2[[#This Row],[DTO]]))*Tabla2[[#This Row],[Cantidad]]</f>
        <v>22484</v>
      </c>
      <c r="N57" s="31">
        <f>Tabla2[[#This Row],[Subtotal ARS]]+(Tabla2[[#This Row],[Subtotal ARS]]*Tabla2[[#This Row],[IVA]])</f>
        <v>27205.64</v>
      </c>
      <c r="O57" s="31">
        <f>Tabla2[[#This Row],[TOTAL ARS]]/Tabla2[[#This Row],[TC BNA]]</f>
        <v>18.570402730375427</v>
      </c>
      <c r="P57" s="21">
        <f>_xlfn.XLOOKUP(A57,'TC_BNA xlsx'!A:A,'TC_BNA xlsx'!C:C,"No encontrado")</f>
        <v>1465</v>
      </c>
      <c r="Q57" s="23"/>
      <c r="R57" s="6"/>
      <c r="S57" s="6"/>
      <c r="T57" s="6"/>
      <c r="U57" s="6"/>
    </row>
    <row r="58" spans="1:21" x14ac:dyDescent="0.25">
      <c r="A58" s="20">
        <v>46181</v>
      </c>
      <c r="B58" s="21">
        <f>MONTH(Tabla2[[#This Row],[Fecha]])</f>
        <v>6</v>
      </c>
      <c r="C58" s="22" t="s">
        <v>148</v>
      </c>
      <c r="D58" s="23" t="str">
        <f>IFERROR(_xlfn.XLOOKUP(Tabla2[[#This Row],[Artículo]],Tabla1[Artículos],Tabla1[Rubro]),"")</f>
        <v>Reventa</v>
      </c>
      <c r="E58" s="24" t="s">
        <v>166</v>
      </c>
      <c r="F58" s="25">
        <v>100800</v>
      </c>
      <c r="G58" s="24" t="s">
        <v>25</v>
      </c>
      <c r="H58" s="26">
        <v>19.379020000000001</v>
      </c>
      <c r="I58" s="27">
        <f>Tabla2[[#This Row],[Precio Unitario ARS]]/Tabla2[[#This Row],[TC BNA]]</f>
        <v>1.3228E-2</v>
      </c>
      <c r="J58" s="28">
        <v>0.15379999999999999</v>
      </c>
      <c r="K58" s="24" t="s">
        <v>19</v>
      </c>
      <c r="L58" s="29">
        <v>0.21</v>
      </c>
      <c r="M58" s="30">
        <f>(Tabla2[[#This Row],[Precio Unitario ARS]]-(Tabla2[[#This Row],[Precio Unitario ARS]]*Tabla2[[#This Row],[DTO]]))*Tabla2[[#This Row],[Cantidad]]</f>
        <v>1652971.4937791999</v>
      </c>
      <c r="N58" s="31">
        <f>Tabla2[[#This Row],[Subtotal ARS]]+(Tabla2[[#This Row],[Subtotal ARS]]*Tabla2[[#This Row],[IVA]])</f>
        <v>2000095.5074728318</v>
      </c>
      <c r="O58" s="31">
        <f>Tabla2[[#This Row],[TOTAL ARS]]/Tabla2[[#This Row],[TC BNA]]</f>
        <v>1365.2529061247999</v>
      </c>
      <c r="P58" s="21">
        <f>_xlfn.XLOOKUP(A58,'TC_BNA xlsx'!A:A,'TC_BNA xlsx'!C:C,"No encontrado")</f>
        <v>1465</v>
      </c>
      <c r="Q58" s="23"/>
      <c r="R58" s="6"/>
      <c r="S58" s="6"/>
      <c r="T58" s="6"/>
      <c r="U58" s="6"/>
    </row>
    <row r="59" spans="1:21" x14ac:dyDescent="0.25">
      <c r="A59" s="20">
        <v>46182</v>
      </c>
      <c r="B59" s="21">
        <f>MONTH(Tabla2[[#This Row],[Fecha]])</f>
        <v>6</v>
      </c>
      <c r="C59" s="22" t="s">
        <v>54</v>
      </c>
      <c r="D59" s="23" t="str">
        <f>IFERROR(_xlfn.XLOOKUP(Tabla2[[#This Row],[Artículo]],Tabla1[Artículos],Tabla1[Rubro]),"")</f>
        <v>Embalaje</v>
      </c>
      <c r="E59" s="24" t="s">
        <v>16</v>
      </c>
      <c r="F59" s="25">
        <v>12</v>
      </c>
      <c r="G59" s="24" t="s">
        <v>17</v>
      </c>
      <c r="H59" s="26">
        <v>22056.94</v>
      </c>
      <c r="I59" s="27">
        <f>Tabla2[[#This Row],[Precio Unitario ARS]]/Tabla2[[#This Row],[TC BNA]]</f>
        <v>15.107493150684931</v>
      </c>
      <c r="J59" s="28">
        <v>0.4</v>
      </c>
      <c r="K59" s="24" t="s">
        <v>19</v>
      </c>
      <c r="L59" s="29">
        <v>0.21</v>
      </c>
      <c r="M59" s="30">
        <f>(Tabla2[[#This Row],[Precio Unitario ARS]]-(Tabla2[[#This Row],[Precio Unitario ARS]]*Tabla2[[#This Row],[DTO]]))*Tabla2[[#This Row],[Cantidad]]</f>
        <v>158809.96799999999</v>
      </c>
      <c r="N59" s="31">
        <f>Tabla2[[#This Row],[Subtotal ARS]]+(Tabla2[[#This Row],[Subtotal ARS]]*Tabla2[[#This Row],[IVA]])</f>
        <v>192160.06127999999</v>
      </c>
      <c r="O59" s="31">
        <f>Tabla2[[#This Row],[TOTAL ARS]]/Tabla2[[#This Row],[TC BNA]]</f>
        <v>131.61648032876712</v>
      </c>
      <c r="P59" s="21">
        <f>_xlfn.XLOOKUP(A59,'TC_BNA xlsx'!A:A,'TC_BNA xlsx'!C:C,"No encontrado")</f>
        <v>1460</v>
      </c>
      <c r="Q59" s="23"/>
      <c r="R59" s="6"/>
      <c r="S59" s="6"/>
      <c r="T59" s="6"/>
      <c r="U59" s="6"/>
    </row>
    <row r="60" spans="1:21" x14ac:dyDescent="0.25">
      <c r="A60" s="20">
        <v>46182</v>
      </c>
      <c r="B60" s="21">
        <f>MONTH(Tabla2[[#This Row],[Fecha]])</f>
        <v>6</v>
      </c>
      <c r="C60" s="22" t="s">
        <v>53</v>
      </c>
      <c r="D60" s="23" t="str">
        <f>IFERROR(_xlfn.XLOOKUP(Tabla2[[#This Row],[Artículo]],Tabla1[Artículos],Tabla1[Rubro]),"")</f>
        <v>Embalaje</v>
      </c>
      <c r="E60" s="24" t="s">
        <v>16</v>
      </c>
      <c r="F60" s="25">
        <v>5</v>
      </c>
      <c r="G60" s="24" t="s">
        <v>17</v>
      </c>
      <c r="H60" s="26">
        <v>27888.080000000002</v>
      </c>
      <c r="I60" s="27">
        <f>Tabla2[[#This Row],[Precio Unitario ARS]]/Tabla2[[#This Row],[TC BNA]]</f>
        <v>19.101424657534249</v>
      </c>
      <c r="J60" s="28">
        <v>0.4</v>
      </c>
      <c r="K60" s="24" t="s">
        <v>19</v>
      </c>
      <c r="L60" s="29">
        <v>0.21</v>
      </c>
      <c r="M60" s="30">
        <f>(Tabla2[[#This Row],[Precio Unitario ARS]]-(Tabla2[[#This Row],[Precio Unitario ARS]]*Tabla2[[#This Row],[DTO]]))*Tabla2[[#This Row],[Cantidad]]</f>
        <v>83664.239999999991</v>
      </c>
      <c r="N60" s="31">
        <f>Tabla2[[#This Row],[Subtotal ARS]]+(Tabla2[[#This Row],[Subtotal ARS]]*Tabla2[[#This Row],[IVA]])</f>
        <v>101233.73039999999</v>
      </c>
      <c r="O60" s="31">
        <f>Tabla2[[#This Row],[TOTAL ARS]]/Tabla2[[#This Row],[TC BNA]]</f>
        <v>69.338171506849307</v>
      </c>
      <c r="P60" s="21">
        <f>_xlfn.XLOOKUP(A60,'TC_BNA xlsx'!A:A,'TC_BNA xlsx'!C:C,"No encontrado")</f>
        <v>1460</v>
      </c>
      <c r="Q60" s="23"/>
      <c r="R60" s="6"/>
      <c r="S60" s="6"/>
      <c r="T60" s="6"/>
      <c r="U60" s="6"/>
    </row>
    <row r="61" spans="1:21" x14ac:dyDescent="0.25">
      <c r="A61" s="20">
        <v>46182</v>
      </c>
      <c r="B61" s="21">
        <f>MONTH(Tabla2[[#This Row],[Fecha]])</f>
        <v>6</v>
      </c>
      <c r="C61" s="22" t="s">
        <v>54</v>
      </c>
      <c r="D61" s="23" t="str">
        <f>IFERROR(_xlfn.XLOOKUP(Tabla2[[#This Row],[Artículo]],Tabla1[Artículos],Tabla1[Rubro]),"")</f>
        <v>Embalaje</v>
      </c>
      <c r="E61" s="24" t="s">
        <v>16</v>
      </c>
      <c r="F61" s="25">
        <v>8</v>
      </c>
      <c r="G61" s="24" t="s">
        <v>17</v>
      </c>
      <c r="H61" s="26">
        <v>22056.94</v>
      </c>
      <c r="I61" s="27">
        <f>Tabla2[[#This Row],[Precio Unitario ARS]]/Tabla2[[#This Row],[TC BNA]]</f>
        <v>15.107493150684931</v>
      </c>
      <c r="J61" s="28">
        <v>0.4</v>
      </c>
      <c r="K61" s="24" t="s">
        <v>19</v>
      </c>
      <c r="L61" s="29">
        <v>0.21</v>
      </c>
      <c r="M61" s="30">
        <f>(Tabla2[[#This Row],[Precio Unitario ARS]]-(Tabla2[[#This Row],[Precio Unitario ARS]]*Tabla2[[#This Row],[DTO]]))*Tabla2[[#This Row],[Cantidad]]</f>
        <v>105873.31199999999</v>
      </c>
      <c r="N61" s="31">
        <f>Tabla2[[#This Row],[Subtotal ARS]]+(Tabla2[[#This Row],[Subtotal ARS]]*Tabla2[[#This Row],[IVA]])</f>
        <v>128106.70752</v>
      </c>
      <c r="O61" s="31">
        <f>Tabla2[[#This Row],[TOTAL ARS]]/Tabla2[[#This Row],[TC BNA]]</f>
        <v>87.744320219178078</v>
      </c>
      <c r="P61" s="21">
        <f>_xlfn.XLOOKUP(A61,'TC_BNA xlsx'!A:A,'TC_BNA xlsx'!C:C,"No encontrado")</f>
        <v>1460</v>
      </c>
      <c r="Q61" s="23"/>
      <c r="R61" s="6"/>
      <c r="S61" s="6"/>
      <c r="T61" s="6"/>
      <c r="U61" s="6"/>
    </row>
    <row r="62" spans="1:21" x14ac:dyDescent="0.25">
      <c r="A62" s="20">
        <v>46182</v>
      </c>
      <c r="B62" s="21">
        <f>MONTH(Tabla2[[#This Row],[Fecha]])</f>
        <v>6</v>
      </c>
      <c r="C62" s="22" t="s">
        <v>229</v>
      </c>
      <c r="D62" s="23" t="str">
        <f>IFERROR(_xlfn.XLOOKUP(Tabla2[[#This Row],[Artículo]],Tabla1[Artículos],Tabla1[Rubro]),"")</f>
        <v>Materia Prima</v>
      </c>
      <c r="E62" s="24" t="s">
        <v>232</v>
      </c>
      <c r="F62" s="25">
        <v>1000</v>
      </c>
      <c r="G62" s="24" t="s">
        <v>150</v>
      </c>
      <c r="H62" s="26">
        <v>1748.9</v>
      </c>
      <c r="I62" s="27">
        <f>Tabla2[[#This Row],[Precio Unitario ARS]]/Tabla2[[#This Row],[TC BNA]]</f>
        <v>1.1978767123287672</v>
      </c>
      <c r="J62" s="28">
        <v>0</v>
      </c>
      <c r="K62" s="24" t="s">
        <v>19</v>
      </c>
      <c r="L62" s="29">
        <v>0.21</v>
      </c>
      <c r="M62" s="30">
        <f>(Tabla2[[#This Row],[Precio Unitario ARS]]-(Tabla2[[#This Row],[Precio Unitario ARS]]*Tabla2[[#This Row],[DTO]]))*Tabla2[[#This Row],[Cantidad]]</f>
        <v>1748900</v>
      </c>
      <c r="N62" s="31">
        <f>Tabla2[[#This Row],[Subtotal ARS]]+(Tabla2[[#This Row],[Subtotal ARS]]*Tabla2[[#This Row],[IVA]])</f>
        <v>2116169</v>
      </c>
      <c r="O62" s="31">
        <f>Tabla2[[#This Row],[TOTAL ARS]]/Tabla2[[#This Row],[TC BNA]]</f>
        <v>1449.4308219178083</v>
      </c>
      <c r="P62" s="21">
        <f>_xlfn.XLOOKUP(A62,'TC_BNA xlsx'!A:A,'TC_BNA xlsx'!C:C,"No encontrado")</f>
        <v>1460</v>
      </c>
      <c r="Q62" s="23"/>
      <c r="R62" s="6"/>
      <c r="S62" s="6"/>
      <c r="T62" s="6"/>
      <c r="U62" s="6"/>
    </row>
    <row r="63" spans="1:21" x14ac:dyDescent="0.25">
      <c r="A63" s="20">
        <v>46182</v>
      </c>
      <c r="B63" s="21">
        <f>MONTH(Tabla2[[#This Row],[Fecha]])</f>
        <v>6</v>
      </c>
      <c r="C63" s="22" t="s">
        <v>230</v>
      </c>
      <c r="D63" s="23" t="str">
        <f>IFERROR(_xlfn.XLOOKUP(Tabla2[[#This Row],[Artículo]],Tabla1[Artículos],Tabla1[Rubro]),"")</f>
        <v>Materia Prima</v>
      </c>
      <c r="E63" s="24" t="s">
        <v>232</v>
      </c>
      <c r="F63" s="25">
        <v>1000</v>
      </c>
      <c r="G63" s="24" t="s">
        <v>150</v>
      </c>
      <c r="H63" s="26">
        <v>1718.69</v>
      </c>
      <c r="I63" s="27">
        <f>Tabla2[[#This Row],[Precio Unitario ARS]]/Tabla2[[#This Row],[TC BNA]]</f>
        <v>1.1771849315068494</v>
      </c>
      <c r="J63" s="28">
        <v>0</v>
      </c>
      <c r="K63" s="24" t="s">
        <v>19</v>
      </c>
      <c r="L63" s="29">
        <v>0.21</v>
      </c>
      <c r="M63" s="30">
        <f>(Tabla2[[#This Row],[Precio Unitario ARS]]-(Tabla2[[#This Row],[Precio Unitario ARS]]*Tabla2[[#This Row],[DTO]]))*Tabla2[[#This Row],[Cantidad]]</f>
        <v>1718690</v>
      </c>
      <c r="N63" s="31">
        <f>Tabla2[[#This Row],[Subtotal ARS]]+(Tabla2[[#This Row],[Subtotal ARS]]*Tabla2[[#This Row],[IVA]])</f>
        <v>2079614.9</v>
      </c>
      <c r="O63" s="31">
        <f>Tabla2[[#This Row],[TOTAL ARS]]/Tabla2[[#This Row],[TC BNA]]</f>
        <v>1424.3937671232877</v>
      </c>
      <c r="P63" s="21">
        <f>_xlfn.XLOOKUP(A63,'TC_BNA xlsx'!A:A,'TC_BNA xlsx'!C:C,"No encontrado")</f>
        <v>1460</v>
      </c>
      <c r="Q63" s="23"/>
      <c r="R63" s="6"/>
      <c r="S63" s="6"/>
      <c r="T63" s="6"/>
      <c r="U63" s="6"/>
    </row>
    <row r="64" spans="1:21" x14ac:dyDescent="0.25">
      <c r="A64" s="20">
        <v>46182</v>
      </c>
      <c r="B64" s="21">
        <f>MONTH(Tabla2[[#This Row],[Fecha]])</f>
        <v>6</v>
      </c>
      <c r="C64" s="22" t="s">
        <v>231</v>
      </c>
      <c r="D64" s="23" t="str">
        <f>IFERROR(_xlfn.XLOOKUP(Tabla2[[#This Row],[Artículo]],Tabla1[Artículos],Tabla1[Rubro]),"")</f>
        <v>Materia Prima</v>
      </c>
      <c r="E64" s="24" t="s">
        <v>232</v>
      </c>
      <c r="F64" s="25">
        <v>1000</v>
      </c>
      <c r="G64" s="24" t="s">
        <v>150</v>
      </c>
      <c r="H64" s="26">
        <v>2357.02</v>
      </c>
      <c r="I64" s="27">
        <f>Tabla2[[#This Row],[Precio Unitario ARS]]/Tabla2[[#This Row],[TC BNA]]</f>
        <v>1.6143972602739727</v>
      </c>
      <c r="J64" s="28">
        <v>0</v>
      </c>
      <c r="K64" s="24" t="s">
        <v>19</v>
      </c>
      <c r="L64" s="29">
        <v>0.21</v>
      </c>
      <c r="M64" s="30">
        <f>(Tabla2[[#This Row],[Precio Unitario ARS]]-(Tabla2[[#This Row],[Precio Unitario ARS]]*Tabla2[[#This Row],[DTO]]))*Tabla2[[#This Row],[Cantidad]]</f>
        <v>2357020</v>
      </c>
      <c r="N64" s="31">
        <f>Tabla2[[#This Row],[Subtotal ARS]]+(Tabla2[[#This Row],[Subtotal ARS]]*Tabla2[[#This Row],[IVA]])</f>
        <v>2851994.2</v>
      </c>
      <c r="O64" s="31">
        <f>Tabla2[[#This Row],[TOTAL ARS]]/Tabla2[[#This Row],[TC BNA]]</f>
        <v>1953.4206849315069</v>
      </c>
      <c r="P64" s="21">
        <f>_xlfn.XLOOKUP(A64,'TC_BNA xlsx'!A:A,'TC_BNA xlsx'!C:C,"No encontrado")</f>
        <v>1460</v>
      </c>
      <c r="Q64" s="23"/>
      <c r="R64" s="6"/>
      <c r="S64" s="6"/>
      <c r="T64" s="6"/>
      <c r="U64" s="6"/>
    </row>
    <row r="65" spans="1:21" x14ac:dyDescent="0.25">
      <c r="A65" s="20">
        <v>46182</v>
      </c>
      <c r="B65" s="21">
        <f>MONTH(Tabla2[[#This Row],[Fecha]])</f>
        <v>6</v>
      </c>
      <c r="C65" s="22" t="s">
        <v>89</v>
      </c>
      <c r="D65" s="23" t="str">
        <f>IFERROR(_xlfn.XLOOKUP(Tabla2[[#This Row],[Artículo]],Tabla1[Artículos],Tabla1[Rubro]),"")</f>
        <v>Embalaje</v>
      </c>
      <c r="E65" s="24" t="s">
        <v>124</v>
      </c>
      <c r="F65" s="25">
        <v>279</v>
      </c>
      <c r="G65" s="24" t="s">
        <v>150</v>
      </c>
      <c r="H65" s="26">
        <v>4672</v>
      </c>
      <c r="I65" s="27">
        <f>Tabla2[[#This Row],[Precio Unitario ARS]]/Tabla2[[#This Row],[TC BNA]]</f>
        <v>3.2</v>
      </c>
      <c r="J65" s="28">
        <v>0</v>
      </c>
      <c r="K65" s="24" t="s">
        <v>19</v>
      </c>
      <c r="L65" s="29">
        <v>0.21</v>
      </c>
      <c r="M65" s="30">
        <f>(Tabla2[[#This Row],[Precio Unitario ARS]]-(Tabla2[[#This Row],[Precio Unitario ARS]]*Tabla2[[#This Row],[DTO]]))*Tabla2[[#This Row],[Cantidad]]</f>
        <v>1303488</v>
      </c>
      <c r="N65" s="31">
        <f>Tabla2[[#This Row],[Subtotal ARS]]+(Tabla2[[#This Row],[Subtotal ARS]]*Tabla2[[#This Row],[IVA]])</f>
        <v>1577220.48</v>
      </c>
      <c r="O65" s="31">
        <f>Tabla2[[#This Row],[TOTAL ARS]]/Tabla2[[#This Row],[TC BNA]]</f>
        <v>1080.288</v>
      </c>
      <c r="P65" s="21">
        <f>_xlfn.XLOOKUP(A65,'TC_BNA xlsx'!A:A,'TC_BNA xlsx'!C:C,"No encontrado")</f>
        <v>1460</v>
      </c>
      <c r="Q65" s="23"/>
      <c r="R65" s="6"/>
      <c r="S65" s="6"/>
      <c r="T65" s="6"/>
      <c r="U65" s="6"/>
    </row>
    <row r="66" spans="1:21" x14ac:dyDescent="0.25">
      <c r="A66" s="20">
        <v>46182</v>
      </c>
      <c r="B66" s="21">
        <f>MONTH(Tabla2[[#This Row],[Fecha]])</f>
        <v>6</v>
      </c>
      <c r="C66" s="22" t="s">
        <v>233</v>
      </c>
      <c r="D66" s="23" t="str">
        <f>IFERROR(_xlfn.XLOOKUP(Tabla2[[#This Row],[Artículo]],Tabla1[Artículos],Tabla1[Rubro]),"")</f>
        <v>Embalaje</v>
      </c>
      <c r="E66" s="24" t="s">
        <v>124</v>
      </c>
      <c r="F66" s="25">
        <v>50</v>
      </c>
      <c r="G66" s="24" t="s">
        <v>25</v>
      </c>
      <c r="H66" s="26">
        <v>990</v>
      </c>
      <c r="I66" s="27">
        <f>Tabla2[[#This Row],[Precio Unitario ARS]]/Tabla2[[#This Row],[TC BNA]]</f>
        <v>0.67808219178082196</v>
      </c>
      <c r="J66" s="28">
        <v>0</v>
      </c>
      <c r="K66" s="24" t="s">
        <v>19</v>
      </c>
      <c r="L66" s="29">
        <v>0.21</v>
      </c>
      <c r="M66" s="30">
        <f>(Tabla2[[#This Row],[Precio Unitario ARS]]-(Tabla2[[#This Row],[Precio Unitario ARS]]*Tabla2[[#This Row],[DTO]]))*Tabla2[[#This Row],[Cantidad]]</f>
        <v>49500</v>
      </c>
      <c r="N66" s="31">
        <f>Tabla2[[#This Row],[Subtotal ARS]]+(Tabla2[[#This Row],[Subtotal ARS]]*Tabla2[[#This Row],[IVA]])</f>
        <v>59895</v>
      </c>
      <c r="O66" s="31">
        <f>Tabla2[[#This Row],[TOTAL ARS]]/Tabla2[[#This Row],[TC BNA]]</f>
        <v>41.023972602739725</v>
      </c>
      <c r="P66" s="21">
        <f>_xlfn.XLOOKUP(A66,'TC_BNA xlsx'!A:A,'TC_BNA xlsx'!C:C,"No encontrado")</f>
        <v>1460</v>
      </c>
      <c r="Q66" s="23"/>
      <c r="R66" s="6"/>
      <c r="S66" s="6"/>
      <c r="T66" s="6"/>
      <c r="U66" s="6"/>
    </row>
    <row r="67" spans="1:21" x14ac:dyDescent="0.25">
      <c r="A67" s="20">
        <v>46182</v>
      </c>
      <c r="B67" s="21">
        <f>MONTH(Tabla2[[#This Row],[Fecha]])</f>
        <v>6</v>
      </c>
      <c r="C67" s="22" t="s">
        <v>267</v>
      </c>
      <c r="D67" s="23" t="str">
        <f>IFERROR(_xlfn.XLOOKUP(Tabla2[[#This Row],[Artículo]],Tabla1[Artículos],Tabla1[Rubro]),"")</f>
        <v>Librería</v>
      </c>
      <c r="E67" s="24" t="s">
        <v>268</v>
      </c>
      <c r="F67" s="25">
        <v>1</v>
      </c>
      <c r="G67" s="24" t="s">
        <v>25</v>
      </c>
      <c r="H67" s="26">
        <v>36948.550000000003</v>
      </c>
      <c r="I67" s="27">
        <f>Tabla2[[#This Row],[Precio Unitario ARS]]/Tabla2[[#This Row],[TC BNA]]</f>
        <v>25.307226027397263</v>
      </c>
      <c r="J67" s="28">
        <v>0</v>
      </c>
      <c r="K67" s="24" t="s">
        <v>19</v>
      </c>
      <c r="L67" s="29">
        <v>0.21</v>
      </c>
      <c r="M67" s="30">
        <f>(Tabla2[[#This Row],[Precio Unitario ARS]]-(Tabla2[[#This Row],[Precio Unitario ARS]]*Tabla2[[#This Row],[DTO]]))*Tabla2[[#This Row],[Cantidad]]</f>
        <v>36948.550000000003</v>
      </c>
      <c r="N67" s="31">
        <f>Tabla2[[#This Row],[Subtotal ARS]]+(Tabla2[[#This Row],[Subtotal ARS]]*Tabla2[[#This Row],[IVA]])</f>
        <v>44707.745500000005</v>
      </c>
      <c r="O67" s="31">
        <f>Tabla2[[#This Row],[TOTAL ARS]]/Tabla2[[#This Row],[TC BNA]]</f>
        <v>30.621743493150689</v>
      </c>
      <c r="P67" s="21">
        <f>_xlfn.XLOOKUP(A67,'TC_BNA xlsx'!A:A,'TC_BNA xlsx'!C:C,"No encontrado")</f>
        <v>1460</v>
      </c>
      <c r="Q67" s="23"/>
      <c r="R67" s="6"/>
      <c r="S67" s="6"/>
      <c r="T67" s="6"/>
      <c r="U67" s="6"/>
    </row>
    <row r="68" spans="1:21" x14ac:dyDescent="0.25">
      <c r="A68" s="20">
        <v>46183</v>
      </c>
      <c r="B68" s="21">
        <f>MONTH(Tabla2[[#This Row],[Fecha]])</f>
        <v>6</v>
      </c>
      <c r="C68" s="22" t="s">
        <v>136</v>
      </c>
      <c r="D68" s="23" t="str">
        <f>IFERROR(_xlfn.XLOOKUP(Tabla2[[#This Row],[Artículo]],Tabla1[Artículos],Tabla1[Rubro]),"")</f>
        <v>Embalaje</v>
      </c>
      <c r="E68" s="24" t="s">
        <v>124</v>
      </c>
      <c r="F68" s="25">
        <v>5</v>
      </c>
      <c r="G68" s="24" t="s">
        <v>164</v>
      </c>
      <c r="H68" s="26">
        <v>20769</v>
      </c>
      <c r="I68" s="27">
        <f>Tabla2[[#This Row],[Precio Unitario ARS]]/Tabla2[[#This Row],[TC BNA]]</f>
        <v>14.274226804123712</v>
      </c>
      <c r="J68" s="28">
        <v>0</v>
      </c>
      <c r="K68" s="24" t="s">
        <v>19</v>
      </c>
      <c r="L68" s="29">
        <v>0.21</v>
      </c>
      <c r="M68" s="30">
        <f>(Tabla2[[#This Row],[Precio Unitario ARS]]-(Tabla2[[#This Row],[Precio Unitario ARS]]*Tabla2[[#This Row],[DTO]]))*Tabla2[[#This Row],[Cantidad]]</f>
        <v>103845</v>
      </c>
      <c r="N68" s="31">
        <f>Tabla2[[#This Row],[Subtotal ARS]]+(Tabla2[[#This Row],[Subtotal ARS]]*Tabla2[[#This Row],[IVA]])</f>
        <v>125652.45</v>
      </c>
      <c r="O68" s="31">
        <f>Tabla2[[#This Row],[TOTAL ARS]]/Tabla2[[#This Row],[TC BNA]]</f>
        <v>86.359072164948458</v>
      </c>
      <c r="P68" s="21">
        <f>_xlfn.XLOOKUP(A68,'TC_BNA xlsx'!A:A,'TC_BNA xlsx'!C:C,"No encontrado")</f>
        <v>1455</v>
      </c>
      <c r="Q68" s="23"/>
    </row>
    <row r="69" spans="1:21" x14ac:dyDescent="0.25">
      <c r="A69" s="32">
        <v>46183</v>
      </c>
      <c r="B69" s="21">
        <f>MONTH(Tabla2[[#This Row],[Fecha]])</f>
        <v>6</v>
      </c>
      <c r="C69" s="22" t="s">
        <v>312</v>
      </c>
      <c r="D69" s="23" t="str">
        <f>IFERROR(_xlfn.XLOOKUP(Tabla2[[#This Row],[Artículo]],Tabla1[Artículos],Tabla1[Rubro]),"")</f>
        <v>Herramientas</v>
      </c>
      <c r="E69" s="33" t="s">
        <v>118</v>
      </c>
      <c r="F69" s="34">
        <v>2</v>
      </c>
      <c r="G69" s="33" t="s">
        <v>25</v>
      </c>
      <c r="H69" s="35">
        <v>28000</v>
      </c>
      <c r="I69" s="36">
        <f>Tabla2[[#This Row],[Precio Unitario ARS]]/Tabla2[[#This Row],[TC BNA]]</f>
        <v>19.243986254295532</v>
      </c>
      <c r="J69" s="28">
        <v>0.1</v>
      </c>
      <c r="K69" s="33" t="s">
        <v>19</v>
      </c>
      <c r="L69" s="37">
        <v>0.21</v>
      </c>
      <c r="M69" s="38">
        <f>(Tabla2[[#This Row],[Precio Unitario ARS]]-(Tabla2[[#This Row],[Precio Unitario ARS]]*Tabla2[[#This Row],[DTO]]))*Tabla2[[#This Row],[Cantidad]]</f>
        <v>50400</v>
      </c>
      <c r="N69" s="39">
        <f>Tabla2[[#This Row],[Subtotal ARS]]+(Tabla2[[#This Row],[Subtotal ARS]]*Tabla2[[#This Row],[IVA]])</f>
        <v>60984</v>
      </c>
      <c r="O69" s="39">
        <f>Tabla2[[#This Row],[TOTAL ARS]]/Tabla2[[#This Row],[TC BNA]]</f>
        <v>41.91340206185567</v>
      </c>
      <c r="P69" s="40">
        <f>_xlfn.XLOOKUP(A69,'TC_BNA xlsx'!A:A,'TC_BNA xlsx'!C:C,"No encontrado")</f>
        <v>1455</v>
      </c>
      <c r="Q69" s="22"/>
    </row>
    <row r="70" spans="1:21" x14ac:dyDescent="0.25">
      <c r="A70" s="32">
        <v>46183</v>
      </c>
      <c r="B70" s="21">
        <f>MONTH(Tabla2[[#This Row],[Fecha]])</f>
        <v>6</v>
      </c>
      <c r="C70" s="22" t="s">
        <v>312</v>
      </c>
      <c r="D70" s="23" t="str">
        <f>IFERROR(_xlfn.XLOOKUP(Tabla2[[#This Row],[Artículo]],Tabla1[Artículos],Tabla1[Rubro]),"")</f>
        <v>Herramientas</v>
      </c>
      <c r="E70" s="33" t="s">
        <v>118</v>
      </c>
      <c r="F70" s="34">
        <v>2</v>
      </c>
      <c r="G70" s="33" t="s">
        <v>25</v>
      </c>
      <c r="H70" s="35">
        <v>37000</v>
      </c>
      <c r="I70" s="36">
        <f>Tabla2[[#This Row],[Precio Unitario ARS]]/Tabla2[[#This Row],[TC BNA]]</f>
        <v>25.429553264604809</v>
      </c>
      <c r="J70" s="28">
        <v>0.1</v>
      </c>
      <c r="K70" s="33" t="s">
        <v>19</v>
      </c>
      <c r="L70" s="37">
        <v>0.21</v>
      </c>
      <c r="M70" s="38">
        <f>(Tabla2[[#This Row],[Precio Unitario ARS]]-(Tabla2[[#This Row],[Precio Unitario ARS]]*Tabla2[[#This Row],[DTO]]))*Tabla2[[#This Row],[Cantidad]]</f>
        <v>66600</v>
      </c>
      <c r="N70" s="39">
        <f>Tabla2[[#This Row],[Subtotal ARS]]+(Tabla2[[#This Row],[Subtotal ARS]]*Tabla2[[#This Row],[IVA]])</f>
        <v>80586</v>
      </c>
      <c r="O70" s="39">
        <f>Tabla2[[#This Row],[TOTAL ARS]]/Tabla2[[#This Row],[TC BNA]]</f>
        <v>55.385567010309281</v>
      </c>
      <c r="P70" s="40">
        <f>_xlfn.XLOOKUP(A70,'TC_BNA xlsx'!A:A,'TC_BNA xlsx'!C:C,"No encontrado")</f>
        <v>1455</v>
      </c>
      <c r="Q70" s="22"/>
    </row>
    <row r="71" spans="1:21" x14ac:dyDescent="0.25">
      <c r="A71" s="32">
        <v>46183</v>
      </c>
      <c r="B71" s="21">
        <f>MONTH(Tabla2[[#This Row],[Fecha]])</f>
        <v>6</v>
      </c>
      <c r="C71" s="22" t="s">
        <v>84</v>
      </c>
      <c r="D71" s="41" t="str">
        <f>IFERROR(_xlfn.XLOOKUP(Tabla2[[#This Row],[Artículo]],Tabla1[Artículos],Tabla1[Rubro]),"")</f>
        <v>Materia Prima</v>
      </c>
      <c r="E71" s="33" t="s">
        <v>123</v>
      </c>
      <c r="F71" s="34">
        <v>120</v>
      </c>
      <c r="G71" s="33" t="s">
        <v>25</v>
      </c>
      <c r="H71" s="35">
        <v>8708.41</v>
      </c>
      <c r="I71" s="36">
        <f>Tabla2[[#This Row],[Precio Unitario ARS]]/Tabla2[[#This Row],[TC BNA]]</f>
        <v>5.9851615120274912</v>
      </c>
      <c r="J71" s="28">
        <v>0</v>
      </c>
      <c r="K71" s="33" t="s">
        <v>19</v>
      </c>
      <c r="L71" s="37">
        <v>0.21</v>
      </c>
      <c r="M71" s="38">
        <f>(Tabla2[[#This Row],[Precio Unitario ARS]]-(Tabla2[[#This Row],[Precio Unitario ARS]]*Tabla2[[#This Row],[DTO]]))*Tabla2[[#This Row],[Cantidad]]</f>
        <v>1045009.2</v>
      </c>
      <c r="N71" s="39">
        <f>Tabla2[[#This Row],[Subtotal ARS]]+(Tabla2[[#This Row],[Subtotal ARS]]*Tabla2[[#This Row],[IVA]])</f>
        <v>1264461.132</v>
      </c>
      <c r="O71" s="39">
        <f>Tabla2[[#This Row],[TOTAL ARS]]/Tabla2[[#This Row],[TC BNA]]</f>
        <v>869.04545154639175</v>
      </c>
      <c r="P71" s="40">
        <f>_xlfn.XLOOKUP(A71,'TC_BNA xlsx'!A:A,'TC_BNA xlsx'!C:C,"No encontrado")</f>
        <v>1455</v>
      </c>
      <c r="Q71" s="22"/>
    </row>
    <row r="72" spans="1:21" x14ac:dyDescent="0.25">
      <c r="A72" s="20">
        <v>46184</v>
      </c>
      <c r="B72" s="21">
        <f>MONTH(Tabla2[[#This Row],[Fecha]])</f>
        <v>6</v>
      </c>
      <c r="C72" s="22" t="s">
        <v>100</v>
      </c>
      <c r="D72" s="23" t="str">
        <f>IFERROR(_xlfn.XLOOKUP(Tabla2[[#This Row],[Artículo]],Tabla1[Artículos],Tabla1[Rubro]),"")</f>
        <v>Embalaje</v>
      </c>
      <c r="E72" s="24" t="s">
        <v>127</v>
      </c>
      <c r="F72" s="25">
        <v>2</v>
      </c>
      <c r="G72" s="24" t="s">
        <v>164</v>
      </c>
      <c r="H72" s="26">
        <v>256000</v>
      </c>
      <c r="I72" s="27">
        <f>Tabla2[[#This Row],[Precio Unitario ARS]]/Tabla2[[#This Row],[TC BNA]]</f>
        <v>176.55172413793105</v>
      </c>
      <c r="J72" s="28">
        <v>0</v>
      </c>
      <c r="K72" s="24" t="s">
        <v>19</v>
      </c>
      <c r="L72" s="29">
        <v>0.21</v>
      </c>
      <c r="M72" s="30">
        <f>(Tabla2[[#This Row],[Precio Unitario ARS]]-(Tabla2[[#This Row],[Precio Unitario ARS]]*Tabla2[[#This Row],[DTO]]))*Tabla2[[#This Row],[Cantidad]]</f>
        <v>512000</v>
      </c>
      <c r="N72" s="31">
        <f>Tabla2[[#This Row],[Subtotal ARS]]+(Tabla2[[#This Row],[Subtotal ARS]]*Tabla2[[#This Row],[IVA]])</f>
        <v>619520</v>
      </c>
      <c r="O72" s="31">
        <f>Tabla2[[#This Row],[TOTAL ARS]]/Tabla2[[#This Row],[TC BNA]]</f>
        <v>427.2551724137931</v>
      </c>
      <c r="P72" s="21">
        <f>_xlfn.XLOOKUP(A72,'TC_BNA xlsx'!A:A,'TC_BNA xlsx'!C:C,"No encontrado")</f>
        <v>1450</v>
      </c>
      <c r="Q72" s="23"/>
    </row>
    <row r="73" spans="1:21" x14ac:dyDescent="0.25">
      <c r="A73" s="20">
        <v>46184</v>
      </c>
      <c r="B73" s="21">
        <f>MONTH(Tabla2[[#This Row],[Fecha]])</f>
        <v>6</v>
      </c>
      <c r="C73" s="22" t="s">
        <v>75</v>
      </c>
      <c r="D73" s="23" t="str">
        <f>IFERROR(_xlfn.XLOOKUP(Tabla2[[#This Row],[Artículo]],Tabla1[Artículos],Tabla1[Rubro]),"")</f>
        <v>EPP</v>
      </c>
      <c r="E73" s="24" t="s">
        <v>119</v>
      </c>
      <c r="F73" s="25">
        <v>24</v>
      </c>
      <c r="G73" s="24" t="s">
        <v>23</v>
      </c>
      <c r="H73" s="26">
        <f>2.9*1455</f>
        <v>4219.5</v>
      </c>
      <c r="I73" s="27">
        <f>Tabla2[[#This Row],[Precio Unitario ARS]]/Tabla2[[#This Row],[TC BNA]]</f>
        <v>2.91</v>
      </c>
      <c r="J73" s="28">
        <v>0</v>
      </c>
      <c r="K73" s="24" t="s">
        <v>19</v>
      </c>
      <c r="L73" s="29">
        <v>0.21</v>
      </c>
      <c r="M73" s="30">
        <f>(Tabla2[[#This Row],[Precio Unitario ARS]]-(Tabla2[[#This Row],[Precio Unitario ARS]]*Tabla2[[#This Row],[DTO]]))*Tabla2[[#This Row],[Cantidad]]</f>
        <v>101268</v>
      </c>
      <c r="N73" s="31">
        <f>Tabla2[[#This Row],[Subtotal ARS]]+(Tabla2[[#This Row],[Subtotal ARS]]*Tabla2[[#This Row],[IVA]])</f>
        <v>122534.28</v>
      </c>
      <c r="O73" s="31">
        <f>Tabla2[[#This Row],[TOTAL ARS]]/Tabla2[[#This Row],[TC BNA]]</f>
        <v>84.506399999999999</v>
      </c>
      <c r="P73" s="21">
        <f>_xlfn.XLOOKUP(A73,'TC_BNA xlsx'!A:A,'TC_BNA xlsx'!C:C,"No encontrado")</f>
        <v>1450</v>
      </c>
      <c r="Q73" s="23" t="s">
        <v>236</v>
      </c>
    </row>
    <row r="74" spans="1:21" x14ac:dyDescent="0.25">
      <c r="A74" s="20">
        <v>46184</v>
      </c>
      <c r="B74" s="21">
        <f>MONTH(Tabla2[[#This Row],[Fecha]])</f>
        <v>6</v>
      </c>
      <c r="C74" s="22" t="s">
        <v>234</v>
      </c>
      <c r="D74" s="23" t="str">
        <f>IFERROR(_xlfn.XLOOKUP(Tabla2[[#This Row],[Artículo]],Tabla1[Artículos],Tabla1[Rubro]),"")</f>
        <v>Materia Prima</v>
      </c>
      <c r="E74" s="24" t="s">
        <v>235</v>
      </c>
      <c r="F74" s="25">
        <v>5164</v>
      </c>
      <c r="G74" s="24" t="s">
        <v>150</v>
      </c>
      <c r="H74" s="26">
        <v>1882.77</v>
      </c>
      <c r="I74" s="27">
        <f>Tabla2[[#This Row],[Precio Unitario ARS]]/Tabla2[[#This Row],[TC BNA]]</f>
        <v>1.2984620689655173</v>
      </c>
      <c r="J74" s="28">
        <v>0</v>
      </c>
      <c r="K74" s="24" t="s">
        <v>19</v>
      </c>
      <c r="L74" s="29">
        <v>0.21</v>
      </c>
      <c r="M74" s="30">
        <f>(Tabla2[[#This Row],[Precio Unitario ARS]]-(Tabla2[[#This Row],[Precio Unitario ARS]]*Tabla2[[#This Row],[DTO]]))*Tabla2[[#This Row],[Cantidad]]</f>
        <v>9722624.2799999993</v>
      </c>
      <c r="N74" s="31">
        <f>Tabla2[[#This Row],[Subtotal ARS]]+(Tabla2[[#This Row],[Subtotal ARS]]*Tabla2[[#This Row],[IVA]])</f>
        <v>11764375.378799999</v>
      </c>
      <c r="O74" s="31">
        <f>Tabla2[[#This Row],[TOTAL ARS]]/Tabla2[[#This Row],[TC BNA]]</f>
        <v>8113.3623302068963</v>
      </c>
      <c r="P74" s="21">
        <f>_xlfn.XLOOKUP(A74,'TC_BNA xlsx'!A:A,'TC_BNA xlsx'!C:C,"No encontrado")</f>
        <v>1450</v>
      </c>
      <c r="Q74" s="23" t="s">
        <v>236</v>
      </c>
    </row>
    <row r="75" spans="1:21" x14ac:dyDescent="0.25">
      <c r="A75" s="32">
        <v>46184</v>
      </c>
      <c r="B75" s="21">
        <f>MONTH(Tabla2[[#This Row],[Fecha]])</f>
        <v>6</v>
      </c>
      <c r="C75" s="22" t="s">
        <v>152</v>
      </c>
      <c r="D75" s="23" t="str">
        <f>IFERROR(_xlfn.XLOOKUP(Tabla2[[#This Row],[Artículo]],Tabla1[Artículos],Tabla1[Rubro]),"")</f>
        <v>Reventa</v>
      </c>
      <c r="E75" s="33" t="s">
        <v>155</v>
      </c>
      <c r="F75" s="34">
        <v>1000</v>
      </c>
      <c r="G75" s="33" t="s">
        <v>25</v>
      </c>
      <c r="H75" s="35">
        <v>450</v>
      </c>
      <c r="I75" s="36">
        <f>Tabla2[[#This Row],[Precio Unitario ARS]]/Tabla2[[#This Row],[TC BNA]]</f>
        <v>0.31034482758620691</v>
      </c>
      <c r="J75" s="28">
        <v>0</v>
      </c>
      <c r="K75" s="33" t="s">
        <v>19</v>
      </c>
      <c r="L75" s="37">
        <v>0.21</v>
      </c>
      <c r="M75" s="38">
        <f>(Tabla2[[#This Row],[Precio Unitario ARS]]-(Tabla2[[#This Row],[Precio Unitario ARS]]*Tabla2[[#This Row],[DTO]]))*Tabla2[[#This Row],[Cantidad]]</f>
        <v>450000</v>
      </c>
      <c r="N75" s="39">
        <f>Tabla2[[#This Row],[Subtotal ARS]]+(Tabla2[[#This Row],[Subtotal ARS]]*Tabla2[[#This Row],[IVA]])</f>
        <v>544500</v>
      </c>
      <c r="O75" s="39">
        <f>Tabla2[[#This Row],[TOTAL ARS]]/Tabla2[[#This Row],[TC BNA]]</f>
        <v>375.51724137931035</v>
      </c>
      <c r="P75" s="40">
        <f>_xlfn.XLOOKUP(A75,'TC_BNA xlsx'!A:A,'TC_BNA xlsx'!C:C,"No encontrado")</f>
        <v>1450</v>
      </c>
      <c r="Q75" s="22"/>
    </row>
    <row r="76" spans="1:21" x14ac:dyDescent="0.25">
      <c r="A76" s="32">
        <v>46184</v>
      </c>
      <c r="B76" s="21">
        <f>MONTH(Tabla2[[#This Row],[Fecha]])</f>
        <v>6</v>
      </c>
      <c r="C76" s="22" t="s">
        <v>153</v>
      </c>
      <c r="D76" s="23" t="str">
        <f>IFERROR(_xlfn.XLOOKUP(Tabla2[[#This Row],[Artículo]],Tabla1[Artículos],Tabla1[Rubro]),"")</f>
        <v>Reventa</v>
      </c>
      <c r="E76" s="33" t="s">
        <v>155</v>
      </c>
      <c r="F76" s="34">
        <v>1500</v>
      </c>
      <c r="G76" s="33" t="s">
        <v>25</v>
      </c>
      <c r="H76" s="35">
        <v>998</v>
      </c>
      <c r="I76" s="36">
        <f>Tabla2[[#This Row],[Precio Unitario ARS]]/Tabla2[[#This Row],[TC BNA]]</f>
        <v>0.68827586206896552</v>
      </c>
      <c r="J76" s="28">
        <v>0</v>
      </c>
      <c r="K76" s="33" t="s">
        <v>19</v>
      </c>
      <c r="L76" s="37">
        <v>0.21</v>
      </c>
      <c r="M76" s="38">
        <f>(Tabla2[[#This Row],[Precio Unitario ARS]]-(Tabla2[[#This Row],[Precio Unitario ARS]]*Tabla2[[#This Row],[DTO]]))*Tabla2[[#This Row],[Cantidad]]</f>
        <v>1497000</v>
      </c>
      <c r="N76" s="39">
        <f>Tabla2[[#This Row],[Subtotal ARS]]+(Tabla2[[#This Row],[Subtotal ARS]]*Tabla2[[#This Row],[IVA]])</f>
        <v>1811370</v>
      </c>
      <c r="O76" s="39">
        <f>Tabla2[[#This Row],[TOTAL ARS]]/Tabla2[[#This Row],[TC BNA]]</f>
        <v>1249.2206896551725</v>
      </c>
      <c r="P76" s="40">
        <f>_xlfn.XLOOKUP(A76,'TC_BNA xlsx'!A:A,'TC_BNA xlsx'!C:C,"No encontrado")</f>
        <v>1450</v>
      </c>
      <c r="Q76" s="22"/>
    </row>
    <row r="77" spans="1:21" x14ac:dyDescent="0.25">
      <c r="A77" s="32">
        <v>46184</v>
      </c>
      <c r="B77" s="21">
        <f>MONTH(Tabla2[[#This Row],[Fecha]])</f>
        <v>6</v>
      </c>
      <c r="C77" s="22" t="s">
        <v>154</v>
      </c>
      <c r="D77" s="23" t="str">
        <f>IFERROR(_xlfn.XLOOKUP(Tabla2[[#This Row],[Artículo]],Tabla1[Artículos],Tabla1[Rubro]),"")</f>
        <v>Reventa</v>
      </c>
      <c r="E77" s="33" t="s">
        <v>155</v>
      </c>
      <c r="F77" s="34">
        <v>750</v>
      </c>
      <c r="G77" s="33" t="s">
        <v>25</v>
      </c>
      <c r="H77" s="35">
        <v>717</v>
      </c>
      <c r="I77" s="36">
        <f>Tabla2[[#This Row],[Precio Unitario ARS]]/Tabla2[[#This Row],[TC BNA]]</f>
        <v>0.49448275862068963</v>
      </c>
      <c r="J77" s="28">
        <v>0</v>
      </c>
      <c r="K77" s="33" t="s">
        <v>19</v>
      </c>
      <c r="L77" s="37">
        <v>0.21</v>
      </c>
      <c r="M77" s="38">
        <f>(Tabla2[[#This Row],[Precio Unitario ARS]]-(Tabla2[[#This Row],[Precio Unitario ARS]]*Tabla2[[#This Row],[DTO]]))*Tabla2[[#This Row],[Cantidad]]</f>
        <v>537750</v>
      </c>
      <c r="N77" s="39">
        <f>Tabla2[[#This Row],[Subtotal ARS]]+(Tabla2[[#This Row],[Subtotal ARS]]*Tabla2[[#This Row],[IVA]])</f>
        <v>650677.5</v>
      </c>
      <c r="O77" s="39">
        <f>Tabla2[[#This Row],[TOTAL ARS]]/Tabla2[[#This Row],[TC BNA]]</f>
        <v>448.74310344827586</v>
      </c>
      <c r="P77" s="40">
        <f>_xlfn.XLOOKUP(A77,'TC_BNA xlsx'!A:A,'TC_BNA xlsx'!C:C,"No encontrado")</f>
        <v>1450</v>
      </c>
      <c r="Q77" s="22"/>
    </row>
    <row r="78" spans="1:21" x14ac:dyDescent="0.25">
      <c r="A78" s="32">
        <v>46184</v>
      </c>
      <c r="B78" s="21">
        <f>MONTH(Tabla2[[#This Row],[Fecha]])</f>
        <v>6</v>
      </c>
      <c r="C78" s="22" t="s">
        <v>230</v>
      </c>
      <c r="D78" s="41" t="str">
        <f>IFERROR(_xlfn.XLOOKUP(Tabla2[[#This Row],[Artículo]],Tabla1[Artículos],Tabla1[Rubro]),"")</f>
        <v>Materia Prima</v>
      </c>
      <c r="E78" s="33" t="s">
        <v>232</v>
      </c>
      <c r="F78" s="34">
        <v>5</v>
      </c>
      <c r="G78" s="33" t="s">
        <v>150</v>
      </c>
      <c r="H78" s="35">
        <v>1718.69</v>
      </c>
      <c r="I78" s="36">
        <f>Tabla2[[#This Row],[Precio Unitario ARS]]/Tabla2[[#This Row],[TC BNA]]</f>
        <v>1.1853034482758622</v>
      </c>
      <c r="J78" s="28">
        <v>0</v>
      </c>
      <c r="K78" s="33" t="s">
        <v>19</v>
      </c>
      <c r="L78" s="37">
        <v>0.21</v>
      </c>
      <c r="M78" s="38">
        <f>(Tabla2[[#This Row],[Precio Unitario ARS]]-(Tabla2[[#This Row],[Precio Unitario ARS]]*Tabla2[[#This Row],[DTO]]))*Tabla2[[#This Row],[Cantidad]]</f>
        <v>8593.4500000000007</v>
      </c>
      <c r="N78" s="39">
        <f>Tabla2[[#This Row],[Subtotal ARS]]+(Tabla2[[#This Row],[Subtotal ARS]]*Tabla2[[#This Row],[IVA]])</f>
        <v>10398.074500000001</v>
      </c>
      <c r="O78" s="39">
        <f>Tabla2[[#This Row],[TOTAL ARS]]/Tabla2[[#This Row],[TC BNA]]</f>
        <v>7.1710858620689661</v>
      </c>
      <c r="P78" s="40">
        <f>_xlfn.XLOOKUP(A78,'TC_BNA xlsx'!A:A,'TC_BNA xlsx'!C:C,"No encontrado")</f>
        <v>1450</v>
      </c>
      <c r="Q78" s="22"/>
    </row>
    <row r="79" spans="1:21" x14ac:dyDescent="0.25">
      <c r="A79" s="32">
        <v>46184</v>
      </c>
      <c r="B79" s="21">
        <f>MONTH(Tabla2[[#This Row],[Fecha]])</f>
        <v>6</v>
      </c>
      <c r="C79" s="22" t="s">
        <v>229</v>
      </c>
      <c r="D79" s="41" t="str">
        <f>IFERROR(_xlfn.XLOOKUP(Tabla2[[#This Row],[Artículo]],Tabla1[Artículos],Tabla1[Rubro]),"")</f>
        <v>Materia Prima</v>
      </c>
      <c r="E79" s="33" t="s">
        <v>232</v>
      </c>
      <c r="F79" s="34">
        <v>3</v>
      </c>
      <c r="G79" s="33" t="s">
        <v>150</v>
      </c>
      <c r="H79" s="35">
        <v>1748.9</v>
      </c>
      <c r="I79" s="36">
        <f>Tabla2[[#This Row],[Precio Unitario ARS]]/Tabla2[[#This Row],[TC BNA]]</f>
        <v>1.2061379310344829</v>
      </c>
      <c r="J79" s="28">
        <v>0</v>
      </c>
      <c r="K79" s="33" t="s">
        <v>19</v>
      </c>
      <c r="L79" s="37">
        <v>0.21</v>
      </c>
      <c r="M79" s="38">
        <f>(Tabla2[[#This Row],[Precio Unitario ARS]]-(Tabla2[[#This Row],[Precio Unitario ARS]]*Tabla2[[#This Row],[DTO]]))*Tabla2[[#This Row],[Cantidad]]</f>
        <v>5246.7000000000007</v>
      </c>
      <c r="N79" s="39">
        <f>Tabla2[[#This Row],[Subtotal ARS]]+(Tabla2[[#This Row],[Subtotal ARS]]*Tabla2[[#This Row],[IVA]])</f>
        <v>6348.5070000000005</v>
      </c>
      <c r="O79" s="39">
        <f>Tabla2[[#This Row],[TOTAL ARS]]/Tabla2[[#This Row],[TC BNA]]</f>
        <v>4.3782806896551731</v>
      </c>
      <c r="P79" s="40">
        <f>_xlfn.XLOOKUP(A79,'TC_BNA xlsx'!A:A,'TC_BNA xlsx'!C:C,"No encontrado")</f>
        <v>1450</v>
      </c>
      <c r="Q79" s="22"/>
    </row>
    <row r="80" spans="1:21" x14ac:dyDescent="0.25">
      <c r="A80" s="32">
        <v>46184</v>
      </c>
      <c r="B80" s="21">
        <f>MONTH(Tabla2[[#This Row],[Fecha]])</f>
        <v>6</v>
      </c>
      <c r="C80" s="22" t="s">
        <v>231</v>
      </c>
      <c r="D80" s="41" t="str">
        <f>IFERROR(_xlfn.XLOOKUP(Tabla2[[#This Row],[Artículo]],Tabla1[Artículos],Tabla1[Rubro]),"")</f>
        <v>Materia Prima</v>
      </c>
      <c r="E80" s="33" t="s">
        <v>232</v>
      </c>
      <c r="F80" s="34">
        <v>14</v>
      </c>
      <c r="G80" s="33" t="s">
        <v>150</v>
      </c>
      <c r="H80" s="35">
        <v>2357.02</v>
      </c>
      <c r="I80" s="36">
        <f>Tabla2[[#This Row],[Precio Unitario ARS]]/Tabla2[[#This Row],[TC BNA]]</f>
        <v>1.6255310344827587</v>
      </c>
      <c r="J80" s="28">
        <v>0</v>
      </c>
      <c r="K80" s="33" t="s">
        <v>19</v>
      </c>
      <c r="L80" s="37">
        <v>0.21</v>
      </c>
      <c r="M80" s="38">
        <f>(Tabla2[[#This Row],[Precio Unitario ARS]]-(Tabla2[[#This Row],[Precio Unitario ARS]]*Tabla2[[#This Row],[DTO]]))*Tabla2[[#This Row],[Cantidad]]</f>
        <v>32998.28</v>
      </c>
      <c r="N80" s="39">
        <f>Tabla2[[#This Row],[Subtotal ARS]]+(Tabla2[[#This Row],[Subtotal ARS]]*Tabla2[[#This Row],[IVA]])</f>
        <v>39927.918799999999</v>
      </c>
      <c r="O80" s="39">
        <f>Tabla2[[#This Row],[TOTAL ARS]]/Tabla2[[#This Row],[TC BNA]]</f>
        <v>27.536495724137932</v>
      </c>
      <c r="P80" s="40">
        <f>_xlfn.XLOOKUP(A80,'TC_BNA xlsx'!A:A,'TC_BNA xlsx'!C:C,"No encontrado")</f>
        <v>1450</v>
      </c>
      <c r="Q80" s="22"/>
    </row>
    <row r="81" spans="1:20" x14ac:dyDescent="0.25">
      <c r="A81" s="32">
        <v>46185</v>
      </c>
      <c r="B81" s="21">
        <f>MONTH(Tabla2[[#This Row],[Fecha]])</f>
        <v>6</v>
      </c>
      <c r="C81" s="22" t="s">
        <v>98</v>
      </c>
      <c r="D81" s="23" t="str">
        <f>IFERROR(_xlfn.XLOOKUP(Tabla2[[#This Row],[Artículo]],Tabla1[Artículos],Tabla1[Rubro]),"")</f>
        <v>Embalaje</v>
      </c>
      <c r="E81" s="33" t="s">
        <v>126</v>
      </c>
      <c r="F81" s="34">
        <v>400</v>
      </c>
      <c r="G81" s="33" t="s">
        <v>25</v>
      </c>
      <c r="H81" s="35">
        <v>186.38</v>
      </c>
      <c r="I81" s="36">
        <f>Tabla2[[#This Row],[Precio Unitario ARS]]/Tabla2[[#This Row],[TC BNA]]</f>
        <v>0.12853793103448274</v>
      </c>
      <c r="J81" s="28">
        <v>0</v>
      </c>
      <c r="K81" s="33" t="s">
        <v>19</v>
      </c>
      <c r="L81" s="37">
        <v>0.21</v>
      </c>
      <c r="M81" s="38">
        <f>(Tabla2[[#This Row],[Precio Unitario ARS]]-(Tabla2[[#This Row],[Precio Unitario ARS]]*Tabla2[[#This Row],[DTO]]))*Tabla2[[#This Row],[Cantidad]]</f>
        <v>74552</v>
      </c>
      <c r="N81" s="39">
        <f>Tabla2[[#This Row],[Subtotal ARS]]+(Tabla2[[#This Row],[Subtotal ARS]]*Tabla2[[#This Row],[IVA]])</f>
        <v>90207.92</v>
      </c>
      <c r="O81" s="39">
        <f>Tabla2[[#This Row],[TOTAL ARS]]/Tabla2[[#This Row],[TC BNA]]</f>
        <v>62.212358620689656</v>
      </c>
      <c r="P81" s="40">
        <f>_xlfn.XLOOKUP(A81,'TC_BNA xlsx'!A:A,'TC_BNA xlsx'!C:C,"No encontrado")</f>
        <v>1450</v>
      </c>
      <c r="Q81" s="22"/>
    </row>
    <row r="82" spans="1:20" x14ac:dyDescent="0.25">
      <c r="A82" s="32">
        <v>46185</v>
      </c>
      <c r="B82" s="21">
        <f>MONTH(Tabla2[[#This Row],[Fecha]])</f>
        <v>6</v>
      </c>
      <c r="C82" s="22" t="s">
        <v>99</v>
      </c>
      <c r="D82" s="23" t="str">
        <f>IFERROR(_xlfn.XLOOKUP(Tabla2[[#This Row],[Artículo]],Tabla1[Artículos],Tabla1[Rubro]),"")</f>
        <v>Embalaje</v>
      </c>
      <c r="E82" s="33" t="s">
        <v>126</v>
      </c>
      <c r="F82" s="34">
        <v>196</v>
      </c>
      <c r="G82" s="33" t="s">
        <v>25</v>
      </c>
      <c r="H82" s="35">
        <v>266.25</v>
      </c>
      <c r="I82" s="36">
        <f>Tabla2[[#This Row],[Precio Unitario ARS]]/Tabla2[[#This Row],[TC BNA]]</f>
        <v>0.18362068965517242</v>
      </c>
      <c r="J82" s="28">
        <v>0</v>
      </c>
      <c r="K82" s="33" t="s">
        <v>19</v>
      </c>
      <c r="L82" s="37">
        <v>0.21</v>
      </c>
      <c r="M82" s="38">
        <f>(Tabla2[[#This Row],[Precio Unitario ARS]]-(Tabla2[[#This Row],[Precio Unitario ARS]]*Tabla2[[#This Row],[DTO]]))*Tabla2[[#This Row],[Cantidad]]</f>
        <v>52185</v>
      </c>
      <c r="N82" s="39">
        <f>Tabla2[[#This Row],[Subtotal ARS]]+(Tabla2[[#This Row],[Subtotal ARS]]*Tabla2[[#This Row],[IVA]])</f>
        <v>63143.85</v>
      </c>
      <c r="O82" s="39">
        <f>Tabla2[[#This Row],[TOTAL ARS]]/Tabla2[[#This Row],[TC BNA]]</f>
        <v>43.547482758620689</v>
      </c>
      <c r="P82" s="40">
        <f>_xlfn.XLOOKUP(A82,'TC_BNA xlsx'!A:A,'TC_BNA xlsx'!C:C,"No encontrado")</f>
        <v>1450</v>
      </c>
      <c r="Q82" s="22"/>
    </row>
    <row r="83" spans="1:20" x14ac:dyDescent="0.25">
      <c r="A83" s="32">
        <v>46185</v>
      </c>
      <c r="B83" s="21">
        <f>MONTH(Tabla2[[#This Row],[Fecha]])</f>
        <v>6</v>
      </c>
      <c r="C83" s="22" t="s">
        <v>50</v>
      </c>
      <c r="D83" s="23" t="str">
        <f>IFERROR(_xlfn.XLOOKUP(Tabla2[[#This Row],[Artículo]],Tabla1[Artículos],Tabla1[Rubro]),"")</f>
        <v>Herramientas</v>
      </c>
      <c r="E83" s="33" t="s">
        <v>114</v>
      </c>
      <c r="F83" s="34">
        <v>75</v>
      </c>
      <c r="G83" s="33" t="s">
        <v>25</v>
      </c>
      <c r="H83" s="35">
        <v>1201</v>
      </c>
      <c r="I83" s="36">
        <f>Tabla2[[#This Row],[Precio Unitario ARS]]/Tabla2[[#This Row],[TC BNA]]</f>
        <v>0.82827586206896553</v>
      </c>
      <c r="J83" s="28">
        <v>0</v>
      </c>
      <c r="K83" s="33" t="s">
        <v>19</v>
      </c>
      <c r="L83" s="37">
        <v>0.21</v>
      </c>
      <c r="M83" s="38">
        <f>(Tabla2[[#This Row],[Precio Unitario ARS]]-(Tabla2[[#This Row],[Precio Unitario ARS]]*Tabla2[[#This Row],[DTO]]))*Tabla2[[#This Row],[Cantidad]]</f>
        <v>90075</v>
      </c>
      <c r="N83" s="39">
        <f>Tabla2[[#This Row],[Subtotal ARS]]+(Tabla2[[#This Row],[Subtotal ARS]]*Tabla2[[#This Row],[IVA]])</f>
        <v>108990.75</v>
      </c>
      <c r="O83" s="39">
        <f>Tabla2[[#This Row],[TOTAL ARS]]/Tabla2[[#This Row],[TC BNA]]</f>
        <v>75.166034482758619</v>
      </c>
      <c r="P83" s="40">
        <f>_xlfn.XLOOKUP(A83,'TC_BNA xlsx'!A:A,'TC_BNA xlsx'!C:C,"No encontrado")</f>
        <v>1450</v>
      </c>
      <c r="Q83" s="22"/>
    </row>
    <row r="84" spans="1:20" x14ac:dyDescent="0.25">
      <c r="A84" s="32">
        <v>46185</v>
      </c>
      <c r="B84" s="21">
        <f>MONTH(Tabla2[[#This Row],[Fecha]])</f>
        <v>6</v>
      </c>
      <c r="C84" s="22" t="s">
        <v>269</v>
      </c>
      <c r="D84" s="23" t="str">
        <f>IFERROR(_xlfn.XLOOKUP(Tabla2[[#This Row],[Artículo]],Tabla1[Artículos],Tabla1[Rubro]),"")</f>
        <v>Envío</v>
      </c>
      <c r="E84" s="33" t="s">
        <v>114</v>
      </c>
      <c r="F84" s="34">
        <v>1</v>
      </c>
      <c r="G84" s="33"/>
      <c r="H84" s="35">
        <f>11154.98+1441.2</f>
        <v>12596.18</v>
      </c>
      <c r="I84" s="36">
        <f>Tabla2[[#This Row],[Precio Unitario ARS]]/Tabla2[[#This Row],[TC BNA]]</f>
        <v>8.6870206896551725</v>
      </c>
      <c r="J84" s="28">
        <v>0</v>
      </c>
      <c r="K84" s="33" t="s">
        <v>19</v>
      </c>
      <c r="L84" s="37">
        <v>0.21</v>
      </c>
      <c r="M84" s="38">
        <f>(Tabla2[[#This Row],[Precio Unitario ARS]]-(Tabla2[[#This Row],[Precio Unitario ARS]]*Tabla2[[#This Row],[DTO]]))*Tabla2[[#This Row],[Cantidad]]</f>
        <v>12596.18</v>
      </c>
      <c r="N84" s="39">
        <f>Tabla2[[#This Row],[Subtotal ARS]]+(Tabla2[[#This Row],[Subtotal ARS]]*Tabla2[[#This Row],[IVA]])</f>
        <v>15241.3778</v>
      </c>
      <c r="O84" s="39">
        <f>Tabla2[[#This Row],[TOTAL ARS]]/Tabla2[[#This Row],[TC BNA]]</f>
        <v>10.511295034482758</v>
      </c>
      <c r="P84" s="40">
        <f>_xlfn.XLOOKUP(A84,'TC_BNA xlsx'!A:A,'TC_BNA xlsx'!C:C,"No encontrado")</f>
        <v>1450</v>
      </c>
      <c r="Q84" s="22"/>
    </row>
    <row r="85" spans="1:20" x14ac:dyDescent="0.25">
      <c r="A85" s="32">
        <v>46189</v>
      </c>
      <c r="B85" s="21">
        <f>MONTH(Tabla2[[#This Row],[Fecha]])</f>
        <v>6</v>
      </c>
      <c r="C85" s="22" t="s">
        <v>270</v>
      </c>
      <c r="D85" s="23" t="str">
        <f>IFERROR(_xlfn.XLOOKUP(Tabla2[[#This Row],[Artículo]],Tabla1[Artículos],Tabla1[Rubro]),"")</f>
        <v>Pintura</v>
      </c>
      <c r="E85" s="33" t="s">
        <v>117</v>
      </c>
      <c r="F85" s="34">
        <v>1</v>
      </c>
      <c r="G85" s="33" t="s">
        <v>215</v>
      </c>
      <c r="H85" s="35">
        <v>21309.08</v>
      </c>
      <c r="I85" s="36">
        <f>Tabla2[[#This Row],[Precio Unitario ARS]]/Tabla2[[#This Row],[TC BNA]]</f>
        <v>14.645415807560139</v>
      </c>
      <c r="J85" s="28">
        <v>0</v>
      </c>
      <c r="K85" s="33" t="s">
        <v>19</v>
      </c>
      <c r="L85" s="37">
        <v>0.21</v>
      </c>
      <c r="M85" s="38">
        <f>(Tabla2[[#This Row],[Precio Unitario ARS]]-(Tabla2[[#This Row],[Precio Unitario ARS]]*Tabla2[[#This Row],[DTO]]))*Tabla2[[#This Row],[Cantidad]]</f>
        <v>21309.08</v>
      </c>
      <c r="N85" s="39">
        <f>Tabla2[[#This Row],[Subtotal ARS]]+(Tabla2[[#This Row],[Subtotal ARS]]*Tabla2[[#This Row],[IVA]])</f>
        <v>25783.986800000002</v>
      </c>
      <c r="O85" s="39">
        <f>Tabla2[[#This Row],[TOTAL ARS]]/Tabla2[[#This Row],[TC BNA]]</f>
        <v>17.720953127147769</v>
      </c>
      <c r="P85" s="40">
        <f>_xlfn.XLOOKUP(A85,'TC_BNA xlsx'!A:A,'TC_BNA xlsx'!C:C,"No encontrado")</f>
        <v>1455</v>
      </c>
      <c r="Q85" s="22"/>
    </row>
    <row r="86" spans="1:20" x14ac:dyDescent="0.25">
      <c r="A86" s="32">
        <v>46189</v>
      </c>
      <c r="B86" s="21">
        <f>MONTH(Tabla2[[#This Row],[Fecha]])</f>
        <v>6</v>
      </c>
      <c r="C86" s="22" t="s">
        <v>105</v>
      </c>
      <c r="D86" s="23" t="str">
        <f>IFERROR(_xlfn.XLOOKUP(Tabla2[[#This Row],[Artículo]],Tabla1[Artículos],Tabla1[Rubro]),"")</f>
        <v>Embalaje</v>
      </c>
      <c r="E86" s="33" t="s">
        <v>24</v>
      </c>
      <c r="F86" s="34">
        <v>300</v>
      </c>
      <c r="G86" s="33" t="s">
        <v>25</v>
      </c>
      <c r="H86" s="35">
        <v>1151.787521</v>
      </c>
      <c r="I86" s="36">
        <f>Tabla2[[#This Row],[Precio Unitario ARS]]/Tabla2[[#This Row],[TC BNA]]</f>
        <v>0.79160654364261163</v>
      </c>
      <c r="J86" s="28">
        <v>0.1</v>
      </c>
      <c r="K86" s="33" t="s">
        <v>19</v>
      </c>
      <c r="L86" s="37">
        <v>0.21</v>
      </c>
      <c r="M86" s="38">
        <f>(Tabla2[[#This Row],[Precio Unitario ARS]]-(Tabla2[[#This Row],[Precio Unitario ARS]]*Tabla2[[#This Row],[DTO]]))*Tabla2[[#This Row],[Cantidad]]</f>
        <v>310982.63067000004</v>
      </c>
      <c r="N86" s="39">
        <f>Tabla2[[#This Row],[Subtotal ARS]]+(Tabla2[[#This Row],[Subtotal ARS]]*Tabla2[[#This Row],[IVA]])</f>
        <v>376288.98311070004</v>
      </c>
      <c r="O86" s="39">
        <f>Tabla2[[#This Row],[TOTAL ARS]]/Tabla2[[#This Row],[TC BNA]]</f>
        <v>258.61785780804126</v>
      </c>
      <c r="P86" s="40">
        <f>_xlfn.XLOOKUP(A86,'TC_BNA xlsx'!A:A,'TC_BNA xlsx'!C:C,"No encontrado")</f>
        <v>1455</v>
      </c>
      <c r="Q86" s="22"/>
    </row>
    <row r="87" spans="1:20" x14ac:dyDescent="0.25">
      <c r="A87" s="32">
        <v>46189</v>
      </c>
      <c r="B87" s="21">
        <f>MONTH(Tabla2[[#This Row],[Fecha]])</f>
        <v>6</v>
      </c>
      <c r="C87" s="22" t="s">
        <v>106</v>
      </c>
      <c r="D87" s="23" t="str">
        <f>IFERROR(_xlfn.XLOOKUP(Tabla2[[#This Row],[Artículo]],Tabla1[Artículos],Tabla1[Rubro]),"")</f>
        <v>Embalaje</v>
      </c>
      <c r="E87" s="33" t="s">
        <v>24</v>
      </c>
      <c r="F87" s="34">
        <v>200</v>
      </c>
      <c r="G87" s="33" t="s">
        <v>25</v>
      </c>
      <c r="H87" s="35">
        <v>814.51900799999999</v>
      </c>
      <c r="I87" s="36">
        <f>Tabla2[[#This Row],[Precio Unitario ARS]]/Tabla2[[#This Row],[TC BNA]]</f>
        <v>0.55980687835051546</v>
      </c>
      <c r="J87" s="28">
        <v>0.1</v>
      </c>
      <c r="K87" s="33" t="s">
        <v>19</v>
      </c>
      <c r="L87" s="37">
        <v>0.21</v>
      </c>
      <c r="M87" s="38">
        <f>(Tabla2[[#This Row],[Precio Unitario ARS]]-(Tabla2[[#This Row],[Precio Unitario ARS]]*Tabla2[[#This Row],[DTO]]))*Tabla2[[#This Row],[Cantidad]]</f>
        <v>146613.42144000001</v>
      </c>
      <c r="N87" s="39">
        <f>Tabla2[[#This Row],[Subtotal ARS]]+(Tabla2[[#This Row],[Subtotal ARS]]*Tabla2[[#This Row],[IVA]])</f>
        <v>177402.23994240002</v>
      </c>
      <c r="O87" s="39">
        <f>Tabla2[[#This Row],[TOTAL ARS]]/Tabla2[[#This Row],[TC BNA]]</f>
        <v>121.92593810474229</v>
      </c>
      <c r="P87" s="40">
        <f>_xlfn.XLOOKUP(A87,'TC_BNA xlsx'!A:A,'TC_BNA xlsx'!C:C,"No encontrado")</f>
        <v>1455</v>
      </c>
      <c r="Q87" s="22"/>
    </row>
    <row r="88" spans="1:20" x14ac:dyDescent="0.25">
      <c r="A88" s="32">
        <v>46190</v>
      </c>
      <c r="B88" s="21">
        <f>MONTH(Tabla2[[#This Row],[Fecha]])</f>
        <v>6</v>
      </c>
      <c r="C88" s="22" t="s">
        <v>190</v>
      </c>
      <c r="D88" s="23" t="str">
        <f>IFERROR(_xlfn.XLOOKUP(Tabla2[[#This Row],[Artículo]],Tabla1[Artículos],Tabla1[Rubro]),"")</f>
        <v>Limpieza</v>
      </c>
      <c r="E88" s="33" t="s">
        <v>167</v>
      </c>
      <c r="F88" s="34">
        <v>8</v>
      </c>
      <c r="G88" s="33" t="s">
        <v>17</v>
      </c>
      <c r="H88" s="35">
        <v>7300</v>
      </c>
      <c r="I88" s="36">
        <f>Tabla2[[#This Row],[Precio Unitario ARS]]/Tabla2[[#This Row],[TC BNA]]</f>
        <v>5</v>
      </c>
      <c r="J88" s="28">
        <v>0</v>
      </c>
      <c r="K88" s="33" t="s">
        <v>19</v>
      </c>
      <c r="L88" s="37">
        <v>0</v>
      </c>
      <c r="M88" s="38">
        <f>(Tabla2[[#This Row],[Precio Unitario ARS]]-(Tabla2[[#This Row],[Precio Unitario ARS]]*Tabla2[[#This Row],[DTO]]))*Tabla2[[#This Row],[Cantidad]]</f>
        <v>58400</v>
      </c>
      <c r="N88" s="39">
        <f>Tabla2[[#This Row],[Subtotal ARS]]+(Tabla2[[#This Row],[Subtotal ARS]]*Tabla2[[#This Row],[IVA]])</f>
        <v>58400</v>
      </c>
      <c r="O88" s="39">
        <f>Tabla2[[#This Row],[TOTAL ARS]]/Tabla2[[#This Row],[TC BNA]]</f>
        <v>40</v>
      </c>
      <c r="P88" s="40">
        <f>_xlfn.XLOOKUP(A88,'TC_BNA xlsx'!A:A,'TC_BNA xlsx'!C:C,"No encontrado")</f>
        <v>1460</v>
      </c>
      <c r="Q88" s="22"/>
    </row>
    <row r="89" spans="1:20" x14ac:dyDescent="0.25">
      <c r="A89" s="32">
        <v>46190</v>
      </c>
      <c r="B89" s="21">
        <f>MONTH(Tabla2[[#This Row],[Fecha]])</f>
        <v>6</v>
      </c>
      <c r="C89" s="22" t="s">
        <v>194</v>
      </c>
      <c r="D89" s="23" t="str">
        <f>IFERROR(_xlfn.XLOOKUP(Tabla2[[#This Row],[Artículo]],Tabla1[Artículos],Tabla1[Rubro]),"")</f>
        <v>Limpieza</v>
      </c>
      <c r="E89" s="33" t="s">
        <v>167</v>
      </c>
      <c r="F89" s="34">
        <v>10</v>
      </c>
      <c r="G89" s="33" t="s">
        <v>17</v>
      </c>
      <c r="H89" s="35">
        <v>9900</v>
      </c>
      <c r="I89" s="36">
        <f>Tabla2[[#This Row],[Precio Unitario ARS]]/Tabla2[[#This Row],[TC BNA]]</f>
        <v>6.7808219178082192</v>
      </c>
      <c r="J89" s="28">
        <v>0</v>
      </c>
      <c r="K89" s="33" t="s">
        <v>19</v>
      </c>
      <c r="L89" s="37">
        <v>0</v>
      </c>
      <c r="M89" s="38">
        <f>(Tabla2[[#This Row],[Precio Unitario ARS]]-(Tabla2[[#This Row],[Precio Unitario ARS]]*Tabla2[[#This Row],[DTO]]))*Tabla2[[#This Row],[Cantidad]]</f>
        <v>99000</v>
      </c>
      <c r="N89" s="39">
        <f>Tabla2[[#This Row],[Subtotal ARS]]+(Tabla2[[#This Row],[Subtotal ARS]]*Tabla2[[#This Row],[IVA]])</f>
        <v>99000</v>
      </c>
      <c r="O89" s="39">
        <f>Tabla2[[#This Row],[TOTAL ARS]]/Tabla2[[#This Row],[TC BNA]]</f>
        <v>67.808219178082197</v>
      </c>
      <c r="P89" s="40">
        <f>_xlfn.XLOOKUP(A89,'TC_BNA xlsx'!A:A,'TC_BNA xlsx'!C:C,"No encontrado")</f>
        <v>1460</v>
      </c>
      <c r="Q89" s="22"/>
    </row>
    <row r="90" spans="1:20" x14ac:dyDescent="0.25">
      <c r="A90" s="32">
        <v>46190</v>
      </c>
      <c r="B90" s="21">
        <f>MONTH(Tabla2[[#This Row],[Fecha]])</f>
        <v>6</v>
      </c>
      <c r="C90" s="22" t="s">
        <v>288</v>
      </c>
      <c r="D90" s="23" t="str">
        <f>IFERROR(_xlfn.XLOOKUP(Tabla2[[#This Row],[Artículo]],Tabla1[Artículos],Tabla1[Rubro]),"")</f>
        <v>Reventa</v>
      </c>
      <c r="E90" s="33" t="s">
        <v>311</v>
      </c>
      <c r="F90" s="34">
        <v>1500</v>
      </c>
      <c r="G90" s="33" t="s">
        <v>25</v>
      </c>
      <c r="H90" s="35">
        <v>737</v>
      </c>
      <c r="I90" s="36">
        <f>Tabla2[[#This Row],[Precio Unitario ARS]]/Tabla2[[#This Row],[TC BNA]]</f>
        <v>0.50479452054794516</v>
      </c>
      <c r="J90" s="28">
        <v>0.28749999999999998</v>
      </c>
      <c r="K90" s="33" t="s">
        <v>19</v>
      </c>
      <c r="L90" s="37">
        <v>0.21</v>
      </c>
      <c r="M90" s="38">
        <f>(Tabla2[[#This Row],[Precio Unitario ARS]]-(Tabla2[[#This Row],[Precio Unitario ARS]]*Tabla2[[#This Row],[DTO]]))*Tabla2[[#This Row],[Cantidad]]</f>
        <v>787668.74999999988</v>
      </c>
      <c r="N90" s="39">
        <f>Tabla2[[#This Row],[Subtotal ARS]]+(Tabla2[[#This Row],[Subtotal ARS]]*Tabla2[[#This Row],[IVA]])</f>
        <v>953079.18749999988</v>
      </c>
      <c r="O90" s="39">
        <f>Tabla2[[#This Row],[TOTAL ARS]]/Tabla2[[#This Row],[TC BNA]]</f>
        <v>652.79396404109582</v>
      </c>
      <c r="P90" s="40">
        <f>_xlfn.XLOOKUP(A90,'TC_BNA xlsx'!A:A,'TC_BNA xlsx'!C:C,"No encontrado")</f>
        <v>1460</v>
      </c>
      <c r="Q90" s="22"/>
    </row>
    <row r="91" spans="1:20" x14ac:dyDescent="0.25">
      <c r="A91" s="32">
        <v>46190</v>
      </c>
      <c r="B91" s="21">
        <f>MONTH(Tabla2[[#This Row],[Fecha]])</f>
        <v>6</v>
      </c>
      <c r="C91" s="22" t="s">
        <v>290</v>
      </c>
      <c r="D91" s="23" t="str">
        <f>IFERROR(_xlfn.XLOOKUP(Tabla2[[#This Row],[Artículo]],Tabla1[Artículos],Tabla1[Rubro]),"")</f>
        <v>Reventa</v>
      </c>
      <c r="E91" s="33" t="s">
        <v>311</v>
      </c>
      <c r="F91" s="34">
        <v>300</v>
      </c>
      <c r="G91" s="33" t="s">
        <v>25</v>
      </c>
      <c r="H91" s="35">
        <v>791</v>
      </c>
      <c r="I91" s="36">
        <f>Tabla2[[#This Row],[Precio Unitario ARS]]/Tabla2[[#This Row],[TC BNA]]</f>
        <v>0.54178082191780819</v>
      </c>
      <c r="J91" s="28">
        <v>0.28749999999999998</v>
      </c>
      <c r="K91" s="33" t="s">
        <v>19</v>
      </c>
      <c r="L91" s="37">
        <v>0.21</v>
      </c>
      <c r="M91" s="38">
        <f>(Tabla2[[#This Row],[Precio Unitario ARS]]-(Tabla2[[#This Row],[Precio Unitario ARS]]*Tabla2[[#This Row],[DTO]]))*Tabla2[[#This Row],[Cantidad]]</f>
        <v>169076.25</v>
      </c>
      <c r="N91" s="39">
        <f>Tabla2[[#This Row],[Subtotal ARS]]+(Tabla2[[#This Row],[Subtotal ARS]]*Tabla2[[#This Row],[IVA]])</f>
        <v>204582.26250000001</v>
      </c>
      <c r="O91" s="39">
        <f>Tabla2[[#This Row],[TOTAL ARS]]/Tabla2[[#This Row],[TC BNA]]</f>
        <v>140.12483732876714</v>
      </c>
      <c r="P91" s="40">
        <f>_xlfn.XLOOKUP(A91,'TC_BNA xlsx'!A:A,'TC_BNA xlsx'!C:C,"No encontrado")</f>
        <v>1460</v>
      </c>
      <c r="Q91" s="22"/>
    </row>
    <row r="92" spans="1:20" x14ac:dyDescent="0.25">
      <c r="A92" s="32">
        <v>46190</v>
      </c>
      <c r="B92" s="21">
        <f>MONTH(Tabla2[[#This Row],[Fecha]])</f>
        <v>6</v>
      </c>
      <c r="C92" s="22" t="s">
        <v>295</v>
      </c>
      <c r="D92" s="23" t="str">
        <f>IFERROR(_xlfn.XLOOKUP(Tabla2[[#This Row],[Artículo]],Tabla1[Artículos],Tabla1[Rubro]),"")</f>
        <v>Reventa</v>
      </c>
      <c r="E92" s="33" t="s">
        <v>311</v>
      </c>
      <c r="F92" s="34">
        <v>500</v>
      </c>
      <c r="G92" s="33" t="s">
        <v>25</v>
      </c>
      <c r="H92" s="35">
        <v>710</v>
      </c>
      <c r="I92" s="36">
        <f>Tabla2[[#This Row],[Precio Unitario ARS]]/Tabla2[[#This Row],[TC BNA]]</f>
        <v>0.4863013698630137</v>
      </c>
      <c r="J92" s="28">
        <v>0.28749999999999998</v>
      </c>
      <c r="K92" s="33" t="s">
        <v>19</v>
      </c>
      <c r="L92" s="37">
        <v>0.21</v>
      </c>
      <c r="M92" s="38">
        <f>(Tabla2[[#This Row],[Precio Unitario ARS]]-(Tabla2[[#This Row],[Precio Unitario ARS]]*Tabla2[[#This Row],[DTO]]))*Tabla2[[#This Row],[Cantidad]]</f>
        <v>252937.5</v>
      </c>
      <c r="N92" s="39">
        <f>Tabla2[[#This Row],[Subtotal ARS]]+(Tabla2[[#This Row],[Subtotal ARS]]*Tabla2[[#This Row],[IVA]])</f>
        <v>306054.375</v>
      </c>
      <c r="O92" s="39">
        <f>Tabla2[[#This Row],[TOTAL ARS]]/Tabla2[[#This Row],[TC BNA]]</f>
        <v>209.62628424657535</v>
      </c>
      <c r="P92" s="40">
        <f>_xlfn.XLOOKUP(A92,'TC_BNA xlsx'!A:A,'TC_BNA xlsx'!C:C,"No encontrado")</f>
        <v>1460</v>
      </c>
      <c r="Q92" s="22"/>
      <c r="R92" s="6"/>
      <c r="S92" s="6"/>
      <c r="T92" s="6"/>
    </row>
    <row r="93" spans="1:20" x14ac:dyDescent="0.25">
      <c r="A93" s="32">
        <v>46190</v>
      </c>
      <c r="B93" s="21">
        <f>MONTH(Tabla2[[#This Row],[Fecha]])</f>
        <v>6</v>
      </c>
      <c r="C93" s="22" t="s">
        <v>302</v>
      </c>
      <c r="D93" s="23" t="str">
        <f>IFERROR(_xlfn.XLOOKUP(Tabla2[[#This Row],[Artículo]],Tabla1[Artículos],Tabla1[Rubro]),"")</f>
        <v>Reventa</v>
      </c>
      <c r="E93" s="33" t="s">
        <v>311</v>
      </c>
      <c r="F93" s="34">
        <v>100</v>
      </c>
      <c r="G93" s="33" t="s">
        <v>25</v>
      </c>
      <c r="H93" s="35">
        <v>130</v>
      </c>
      <c r="I93" s="36">
        <f>Tabla2[[#This Row],[Precio Unitario ARS]]/Tabla2[[#This Row],[TC BNA]]</f>
        <v>8.9041095890410954E-2</v>
      </c>
      <c r="J93" s="28">
        <v>0.28749999999999998</v>
      </c>
      <c r="K93" s="33" t="s">
        <v>19</v>
      </c>
      <c r="L93" s="37">
        <v>0.21</v>
      </c>
      <c r="M93" s="38">
        <f>(Tabla2[[#This Row],[Precio Unitario ARS]]-(Tabla2[[#This Row],[Precio Unitario ARS]]*Tabla2[[#This Row],[DTO]]))*Tabla2[[#This Row],[Cantidad]]</f>
        <v>9262.5</v>
      </c>
      <c r="N93" s="39">
        <f>Tabla2[[#This Row],[Subtotal ARS]]+(Tabla2[[#This Row],[Subtotal ARS]]*Tabla2[[#This Row],[IVA]])</f>
        <v>11207.625</v>
      </c>
      <c r="O93" s="39">
        <f>Tabla2[[#This Row],[TOTAL ARS]]/Tabla2[[#This Row],[TC BNA]]</f>
        <v>7.6764554794520548</v>
      </c>
      <c r="P93" s="40">
        <f>_xlfn.XLOOKUP(A93,'TC_BNA xlsx'!A:A,'TC_BNA xlsx'!C:C,"No encontrado")</f>
        <v>1460</v>
      </c>
      <c r="Q93" s="22"/>
      <c r="R93" s="6"/>
      <c r="S93" s="6"/>
      <c r="T93" s="6"/>
    </row>
    <row r="94" spans="1:20" x14ac:dyDescent="0.25">
      <c r="A94" s="32">
        <v>46190</v>
      </c>
      <c r="B94" s="21">
        <f>MONTH(Tabla2[[#This Row],[Fecha]])</f>
        <v>6</v>
      </c>
      <c r="C94" s="22" t="s">
        <v>305</v>
      </c>
      <c r="D94" s="23" t="str">
        <f>IFERROR(_xlfn.XLOOKUP(Tabla2[[#This Row],[Artículo]],Tabla1[Artículos],Tabla1[Rubro]),"")</f>
        <v>Reventa</v>
      </c>
      <c r="E94" s="33" t="s">
        <v>311</v>
      </c>
      <c r="F94" s="34">
        <v>3000</v>
      </c>
      <c r="G94" s="33" t="s">
        <v>25</v>
      </c>
      <c r="H94" s="35">
        <v>130</v>
      </c>
      <c r="I94" s="36">
        <f>Tabla2[[#This Row],[Precio Unitario ARS]]/Tabla2[[#This Row],[TC BNA]]</f>
        <v>8.9041095890410954E-2</v>
      </c>
      <c r="J94" s="28">
        <v>0.28749999999999998</v>
      </c>
      <c r="K94" s="33" t="s">
        <v>19</v>
      </c>
      <c r="L94" s="37">
        <v>0.21</v>
      </c>
      <c r="M94" s="38">
        <f>(Tabla2[[#This Row],[Precio Unitario ARS]]-(Tabla2[[#This Row],[Precio Unitario ARS]]*Tabla2[[#This Row],[DTO]]))*Tabla2[[#This Row],[Cantidad]]</f>
        <v>277875</v>
      </c>
      <c r="N94" s="39">
        <f>Tabla2[[#This Row],[Subtotal ARS]]+(Tabla2[[#This Row],[Subtotal ARS]]*Tabla2[[#This Row],[IVA]])</f>
        <v>336228.75</v>
      </c>
      <c r="O94" s="39">
        <f>Tabla2[[#This Row],[TOTAL ARS]]/Tabla2[[#This Row],[TC BNA]]</f>
        <v>230.29366438356163</v>
      </c>
      <c r="P94" s="40">
        <f>_xlfn.XLOOKUP(A94,'TC_BNA xlsx'!A:A,'TC_BNA xlsx'!C:C,"No encontrado")</f>
        <v>1460</v>
      </c>
      <c r="Q94" s="22"/>
      <c r="R94" s="6"/>
      <c r="S94" s="6"/>
      <c r="T94" s="6"/>
    </row>
    <row r="95" spans="1:20" x14ac:dyDescent="0.25">
      <c r="A95" s="32">
        <v>46190</v>
      </c>
      <c r="B95" s="21">
        <f>MONTH(Tabla2[[#This Row],[Fecha]])</f>
        <v>6</v>
      </c>
      <c r="C95" s="22" t="s">
        <v>307</v>
      </c>
      <c r="D95" s="23" t="str">
        <f>IFERROR(_xlfn.XLOOKUP(Tabla2[[#This Row],[Artículo]],Tabla1[Artículos],Tabla1[Rubro]),"")</f>
        <v>Reventa</v>
      </c>
      <c r="E95" s="33" t="s">
        <v>311</v>
      </c>
      <c r="F95" s="34">
        <v>500</v>
      </c>
      <c r="G95" s="33" t="s">
        <v>25</v>
      </c>
      <c r="H95" s="35">
        <v>217</v>
      </c>
      <c r="I95" s="36">
        <f>Tabla2[[#This Row],[Precio Unitario ARS]]/Tabla2[[#This Row],[TC BNA]]</f>
        <v>0.14863013698630137</v>
      </c>
      <c r="J95" s="28">
        <v>0.28749999999999998</v>
      </c>
      <c r="K95" s="33" t="s">
        <v>19</v>
      </c>
      <c r="L95" s="37">
        <v>0.21</v>
      </c>
      <c r="M95" s="38">
        <f>(Tabla2[[#This Row],[Precio Unitario ARS]]-(Tabla2[[#This Row],[Precio Unitario ARS]]*Tabla2[[#This Row],[DTO]]))*Tabla2[[#This Row],[Cantidad]]</f>
        <v>77306.25</v>
      </c>
      <c r="N95" s="39">
        <f>Tabla2[[#This Row],[Subtotal ARS]]+(Tabla2[[#This Row],[Subtotal ARS]]*Tabla2[[#This Row],[IVA]])</f>
        <v>93540.5625</v>
      </c>
      <c r="O95" s="39">
        <f>Tabla2[[#This Row],[TOTAL ARS]]/Tabla2[[#This Row],[TC BNA]]</f>
        <v>64.068878424657541</v>
      </c>
      <c r="P95" s="40">
        <f>_xlfn.XLOOKUP(A95,'TC_BNA xlsx'!A:A,'TC_BNA xlsx'!C:C,"No encontrado")</f>
        <v>1460</v>
      </c>
      <c r="Q95" s="22"/>
      <c r="R95" s="6"/>
      <c r="S95" s="6"/>
      <c r="T95" s="6"/>
    </row>
    <row r="96" spans="1:20" x14ac:dyDescent="0.25">
      <c r="A96" s="32">
        <v>46191</v>
      </c>
      <c r="B96" s="21">
        <f>MONTH(Tabla2[[#This Row],[Fecha]])</f>
        <v>6</v>
      </c>
      <c r="C96" s="22" t="s">
        <v>246</v>
      </c>
      <c r="D96" s="23" t="str">
        <f>IFERROR(_xlfn.XLOOKUP(Tabla2[[#This Row],[Artículo]],Tabla1[Artículos],Tabla1[Rubro]),"")</f>
        <v>EPP</v>
      </c>
      <c r="E96" s="33" t="s">
        <v>22</v>
      </c>
      <c r="F96" s="34">
        <v>3</v>
      </c>
      <c r="G96" s="33" t="s">
        <v>25</v>
      </c>
      <c r="H96" s="35">
        <v>49509.2</v>
      </c>
      <c r="I96" s="36">
        <f>Tabla2[[#This Row],[Precio Unitario ARS]]/Tabla2[[#This Row],[TC BNA]]</f>
        <v>33.67972789115646</v>
      </c>
      <c r="J96" s="28">
        <v>0</v>
      </c>
      <c r="K96" s="33" t="s">
        <v>19</v>
      </c>
      <c r="L96" s="37">
        <v>0.21</v>
      </c>
      <c r="M96" s="38">
        <f>(Tabla2[[#This Row],[Precio Unitario ARS]]-(Tabla2[[#This Row],[Precio Unitario ARS]]*Tabla2[[#This Row],[DTO]]))*Tabla2[[#This Row],[Cantidad]]</f>
        <v>148527.59999999998</v>
      </c>
      <c r="N96" s="39">
        <f>Tabla2[[#This Row],[Subtotal ARS]]+(Tabla2[[#This Row],[Subtotal ARS]]*Tabla2[[#This Row],[IVA]])</f>
        <v>179718.39599999998</v>
      </c>
      <c r="O96" s="39">
        <f>Tabla2[[#This Row],[TOTAL ARS]]/Tabla2[[#This Row],[TC BNA]]</f>
        <v>122.25741224489795</v>
      </c>
      <c r="P96" s="40">
        <f>_xlfn.XLOOKUP(A96,'TC_BNA xlsx'!A:A,'TC_BNA xlsx'!C:C,"No encontrado")</f>
        <v>1470</v>
      </c>
      <c r="Q96" s="22"/>
      <c r="R96" s="6"/>
      <c r="S96" s="6"/>
      <c r="T96" s="6"/>
    </row>
    <row r="97" spans="1:21" x14ac:dyDescent="0.25">
      <c r="A97" s="32">
        <v>46191</v>
      </c>
      <c r="B97" s="21">
        <f>MONTH(Tabla2[[#This Row],[Fecha]])</f>
        <v>6</v>
      </c>
      <c r="C97" s="22" t="s">
        <v>81</v>
      </c>
      <c r="D97" s="23" t="str">
        <f>IFERROR(_xlfn.XLOOKUP(Tabla2[[#This Row],[Artículo]],Tabla1[Artículos],Tabla1[Rubro]),"")</f>
        <v>Soldadura</v>
      </c>
      <c r="E97" s="33" t="s">
        <v>121</v>
      </c>
      <c r="F97" s="34">
        <v>1</v>
      </c>
      <c r="G97" s="24" t="s">
        <v>164</v>
      </c>
      <c r="H97" s="35">
        <v>80000</v>
      </c>
      <c r="I97" s="36">
        <f>Tabla2[[#This Row],[Precio Unitario ARS]]/Tabla2[[#This Row],[TC BNA]]</f>
        <v>54.42176870748299</v>
      </c>
      <c r="J97" s="28">
        <v>0</v>
      </c>
      <c r="K97" s="33" t="s">
        <v>19</v>
      </c>
      <c r="L97" s="37">
        <v>0.21</v>
      </c>
      <c r="M97" s="38">
        <f>(Tabla2[[#This Row],[Precio Unitario ARS]]-(Tabla2[[#This Row],[Precio Unitario ARS]]*Tabla2[[#This Row],[DTO]]))*Tabla2[[#This Row],[Cantidad]]</f>
        <v>80000</v>
      </c>
      <c r="N97" s="39">
        <f>Tabla2[[#This Row],[Subtotal ARS]]+(Tabla2[[#This Row],[Subtotal ARS]]*Tabla2[[#This Row],[IVA]])</f>
        <v>96800</v>
      </c>
      <c r="O97" s="39">
        <f>Tabla2[[#This Row],[TOTAL ARS]]/Tabla2[[#This Row],[TC BNA]]</f>
        <v>65.850340136054427</v>
      </c>
      <c r="P97" s="40">
        <f>_xlfn.XLOOKUP(A97,'TC_BNA xlsx'!A:A,'TC_BNA xlsx'!C:C,"No encontrado")</f>
        <v>1470</v>
      </c>
      <c r="Q97" s="22"/>
      <c r="R97" s="6"/>
      <c r="S97" s="6"/>
      <c r="T97" s="6"/>
    </row>
    <row r="98" spans="1:21" x14ac:dyDescent="0.25">
      <c r="A98" s="32">
        <v>46191</v>
      </c>
      <c r="B98" s="21">
        <f>MONTH(Tabla2[[#This Row],[Fecha]])</f>
        <v>6</v>
      </c>
      <c r="C98" s="22" t="s">
        <v>152</v>
      </c>
      <c r="D98" s="23" t="str">
        <f>IFERROR(_xlfn.XLOOKUP(Tabla2[[#This Row],[Artículo]],Tabla1[Artículos],Tabla1[Rubro]),"")</f>
        <v>Reventa</v>
      </c>
      <c r="E98" s="33" t="s">
        <v>155</v>
      </c>
      <c r="F98" s="34">
        <v>2000</v>
      </c>
      <c r="G98" s="33" t="s">
        <v>25</v>
      </c>
      <c r="H98" s="35">
        <v>450</v>
      </c>
      <c r="I98" s="36">
        <f>Tabla2[[#This Row],[Precio Unitario ARS]]/Tabla2[[#This Row],[TC BNA]]</f>
        <v>0.30612244897959184</v>
      </c>
      <c r="J98" s="28">
        <v>0</v>
      </c>
      <c r="K98" s="33" t="s">
        <v>19</v>
      </c>
      <c r="L98" s="37">
        <v>0.21</v>
      </c>
      <c r="M98" s="38">
        <f>(Tabla2[[#This Row],[Precio Unitario ARS]]-(Tabla2[[#This Row],[Precio Unitario ARS]]*Tabla2[[#This Row],[DTO]]))*Tabla2[[#This Row],[Cantidad]]</f>
        <v>900000</v>
      </c>
      <c r="N98" s="39">
        <f>Tabla2[[#This Row],[Subtotal ARS]]+(Tabla2[[#This Row],[Subtotal ARS]]*Tabla2[[#This Row],[IVA]])</f>
        <v>1089000</v>
      </c>
      <c r="O98" s="39">
        <f>Tabla2[[#This Row],[TOTAL ARS]]/Tabla2[[#This Row],[TC BNA]]</f>
        <v>740.81632653061229</v>
      </c>
      <c r="P98" s="40">
        <f>_xlfn.XLOOKUP(A98,'TC_BNA xlsx'!A:A,'TC_BNA xlsx'!C:C,"No encontrado")</f>
        <v>1470</v>
      </c>
      <c r="Q98" s="22"/>
      <c r="R98" s="6"/>
      <c r="S98" s="6"/>
      <c r="T98" s="6"/>
    </row>
    <row r="99" spans="1:21" x14ac:dyDescent="0.25">
      <c r="A99" s="32">
        <v>46191</v>
      </c>
      <c r="B99" s="21">
        <f>MONTH(Tabla2[[#This Row],[Fecha]])</f>
        <v>6</v>
      </c>
      <c r="C99" s="22" t="s">
        <v>154</v>
      </c>
      <c r="D99" s="23" t="str">
        <f>IFERROR(_xlfn.XLOOKUP(Tabla2[[#This Row],[Artículo]],Tabla1[Artículos],Tabla1[Rubro]),"")</f>
        <v>Reventa</v>
      </c>
      <c r="E99" s="33" t="s">
        <v>155</v>
      </c>
      <c r="F99" s="34">
        <v>750</v>
      </c>
      <c r="G99" s="33" t="s">
        <v>25</v>
      </c>
      <c r="H99" s="35">
        <v>757</v>
      </c>
      <c r="I99" s="36">
        <f>Tabla2[[#This Row],[Precio Unitario ARS]]/Tabla2[[#This Row],[TC BNA]]</f>
        <v>0.51496598639455782</v>
      </c>
      <c r="J99" s="28">
        <v>0</v>
      </c>
      <c r="K99" s="33" t="s">
        <v>19</v>
      </c>
      <c r="L99" s="37">
        <v>0.21</v>
      </c>
      <c r="M99" s="38">
        <f>(Tabla2[[#This Row],[Precio Unitario ARS]]-(Tabla2[[#This Row],[Precio Unitario ARS]]*Tabla2[[#This Row],[DTO]]))*Tabla2[[#This Row],[Cantidad]]</f>
        <v>567750</v>
      </c>
      <c r="N99" s="39">
        <f>Tabla2[[#This Row],[Subtotal ARS]]+(Tabla2[[#This Row],[Subtotal ARS]]*Tabla2[[#This Row],[IVA]])</f>
        <v>686977.5</v>
      </c>
      <c r="O99" s="39">
        <f>Tabla2[[#This Row],[TOTAL ARS]]/Tabla2[[#This Row],[TC BNA]]</f>
        <v>467.33163265306121</v>
      </c>
      <c r="P99" s="40">
        <f>_xlfn.XLOOKUP(A99,'TC_BNA xlsx'!A:A,'TC_BNA xlsx'!C:C,"No encontrado")</f>
        <v>1470</v>
      </c>
      <c r="Q99" s="22"/>
      <c r="R99" s="6"/>
      <c r="S99" s="6"/>
      <c r="T99" s="6"/>
    </row>
    <row r="100" spans="1:21" x14ac:dyDescent="0.25">
      <c r="A100" s="32">
        <v>46191</v>
      </c>
      <c r="B100" s="21">
        <f>MONTH(Tabla2[[#This Row],[Fecha]])</f>
        <v>6</v>
      </c>
      <c r="C100" s="22" t="s">
        <v>153</v>
      </c>
      <c r="D100" s="23" t="str">
        <f>IFERROR(_xlfn.XLOOKUP(Tabla2[[#This Row],[Artículo]],Tabla1[Artículos],Tabla1[Rubro]),"")</f>
        <v>Reventa</v>
      </c>
      <c r="E100" s="33" t="s">
        <v>155</v>
      </c>
      <c r="F100" s="34">
        <v>1000</v>
      </c>
      <c r="G100" s="33" t="s">
        <v>25</v>
      </c>
      <c r="H100" s="35">
        <v>998</v>
      </c>
      <c r="I100" s="36">
        <f>Tabla2[[#This Row],[Precio Unitario ARS]]/Tabla2[[#This Row],[TC BNA]]</f>
        <v>0.67891156462585034</v>
      </c>
      <c r="J100" s="28">
        <v>0</v>
      </c>
      <c r="K100" s="33" t="s">
        <v>19</v>
      </c>
      <c r="L100" s="37">
        <v>0.21</v>
      </c>
      <c r="M100" s="38">
        <f>(Tabla2[[#This Row],[Precio Unitario ARS]]-(Tabla2[[#This Row],[Precio Unitario ARS]]*Tabla2[[#This Row],[DTO]]))*Tabla2[[#This Row],[Cantidad]]</f>
        <v>998000</v>
      </c>
      <c r="N100" s="39">
        <f>Tabla2[[#This Row],[Subtotal ARS]]+(Tabla2[[#This Row],[Subtotal ARS]]*Tabla2[[#This Row],[IVA]])</f>
        <v>1207580</v>
      </c>
      <c r="O100" s="39">
        <f>Tabla2[[#This Row],[TOTAL ARS]]/Tabla2[[#This Row],[TC BNA]]</f>
        <v>821.48299319727892</v>
      </c>
      <c r="P100" s="40">
        <f>_xlfn.XLOOKUP(A100,'TC_BNA xlsx'!A:A,'TC_BNA xlsx'!C:C,"No encontrado")</f>
        <v>1470</v>
      </c>
      <c r="Q100" s="22"/>
      <c r="R100" s="6"/>
      <c r="S100" s="6"/>
      <c r="T100" s="6"/>
    </row>
    <row r="101" spans="1:21" x14ac:dyDescent="0.25">
      <c r="A101" s="32">
        <v>46192</v>
      </c>
      <c r="B101" s="21">
        <f>MONTH(Tabla2[[#This Row],[Fecha]])</f>
        <v>6</v>
      </c>
      <c r="C101" s="22" t="s">
        <v>108</v>
      </c>
      <c r="D101" s="23" t="str">
        <f>IFERROR(_xlfn.XLOOKUP(Tabla2[[#This Row],[Artículo]],Tabla1[Artículos],Tabla1[Rubro]),"")</f>
        <v>Embalaje</v>
      </c>
      <c r="E101" s="33" t="s">
        <v>131</v>
      </c>
      <c r="F101" s="34">
        <v>20</v>
      </c>
      <c r="G101" s="33" t="s">
        <v>25</v>
      </c>
      <c r="H101" s="35">
        <v>6500</v>
      </c>
      <c r="I101" s="36">
        <f>Tabla2[[#This Row],[Precio Unitario ARS]]/Tabla2[[#This Row],[TC BNA]]</f>
        <v>4.3918918918918921</v>
      </c>
      <c r="J101" s="28">
        <v>0</v>
      </c>
      <c r="K101" s="33" t="s">
        <v>19</v>
      </c>
      <c r="L101" s="37">
        <v>0.21</v>
      </c>
      <c r="M101" s="38">
        <f>(Tabla2[[#This Row],[Precio Unitario ARS]]-(Tabla2[[#This Row],[Precio Unitario ARS]]*Tabla2[[#This Row],[DTO]]))*Tabla2[[#This Row],[Cantidad]]</f>
        <v>130000</v>
      </c>
      <c r="N101" s="39">
        <f>Tabla2[[#This Row],[Subtotal ARS]]+(Tabla2[[#This Row],[Subtotal ARS]]*Tabla2[[#This Row],[IVA]])</f>
        <v>157300</v>
      </c>
      <c r="O101" s="39">
        <f>Tabla2[[#This Row],[TOTAL ARS]]/Tabla2[[#This Row],[TC BNA]]</f>
        <v>106.28378378378379</v>
      </c>
      <c r="P101" s="40">
        <f>_xlfn.XLOOKUP(A101,'TC_BNA xlsx'!A:A,'TC_BNA xlsx'!C:C,"No encontrado")</f>
        <v>1480</v>
      </c>
      <c r="Q101" s="22"/>
      <c r="R101" s="6"/>
      <c r="S101" s="6"/>
      <c r="T101" s="6"/>
    </row>
    <row r="102" spans="1:21" x14ac:dyDescent="0.25">
      <c r="A102" s="32">
        <v>46192</v>
      </c>
      <c r="B102" s="21">
        <f>MONTH(Tabla2[[#This Row],[Fecha]])</f>
        <v>6</v>
      </c>
      <c r="C102" s="22" t="s">
        <v>313</v>
      </c>
      <c r="D102" s="23" t="str">
        <f>IFERROR(_xlfn.XLOOKUP(Tabla2[[#This Row],[Artículo]],Tabla1[Artículos],Tabla1[Rubro]),"")</f>
        <v>Librería</v>
      </c>
      <c r="E102" s="33" t="s">
        <v>160</v>
      </c>
      <c r="F102" s="34">
        <v>2</v>
      </c>
      <c r="G102" s="33" t="s">
        <v>25</v>
      </c>
      <c r="H102" s="35">
        <v>10360</v>
      </c>
      <c r="I102" s="36">
        <f>Tabla2[[#This Row],[Precio Unitario ARS]]/Tabla2[[#This Row],[TC BNA]]</f>
        <v>7</v>
      </c>
      <c r="J102" s="28">
        <v>0.15</v>
      </c>
      <c r="K102" s="33" t="s">
        <v>19</v>
      </c>
      <c r="L102" s="37">
        <v>0.21</v>
      </c>
      <c r="M102" s="38">
        <f>(Tabla2[[#This Row],[Precio Unitario ARS]]-(Tabla2[[#This Row],[Precio Unitario ARS]]*Tabla2[[#This Row],[DTO]]))*Tabla2[[#This Row],[Cantidad]]</f>
        <v>17612</v>
      </c>
      <c r="N102" s="39">
        <f>Tabla2[[#This Row],[Subtotal ARS]]+(Tabla2[[#This Row],[Subtotal ARS]]*Tabla2[[#This Row],[IVA]])</f>
        <v>21310.52</v>
      </c>
      <c r="O102" s="39">
        <f>Tabla2[[#This Row],[TOTAL ARS]]/Tabla2[[#This Row],[TC BNA]]</f>
        <v>14.399000000000001</v>
      </c>
      <c r="P102" s="40">
        <f>_xlfn.XLOOKUP(A102,'TC_BNA xlsx'!A:A,'TC_BNA xlsx'!C:C,"No encontrado")</f>
        <v>1480</v>
      </c>
      <c r="Q102" s="22"/>
      <c r="R102" s="6"/>
      <c r="S102" s="6"/>
      <c r="T102" s="6"/>
    </row>
    <row r="103" spans="1:21" x14ac:dyDescent="0.25">
      <c r="A103" s="32">
        <v>46192</v>
      </c>
      <c r="B103" s="21">
        <f>MONTH(Tabla2[[#This Row],[Fecha]])</f>
        <v>6</v>
      </c>
      <c r="C103" s="22" t="s">
        <v>314</v>
      </c>
      <c r="D103" s="23" t="str">
        <f>IFERROR(_xlfn.XLOOKUP(Tabla2[[#This Row],[Artículo]],Tabla1[Artículos],Tabla1[Rubro]),"")</f>
        <v>Librería</v>
      </c>
      <c r="E103" s="33" t="s">
        <v>160</v>
      </c>
      <c r="F103" s="34">
        <v>1</v>
      </c>
      <c r="G103" s="33" t="s">
        <v>25</v>
      </c>
      <c r="H103" s="35">
        <v>20720</v>
      </c>
      <c r="I103" s="36">
        <f>Tabla2[[#This Row],[Precio Unitario ARS]]/Tabla2[[#This Row],[TC BNA]]</f>
        <v>14</v>
      </c>
      <c r="J103" s="28">
        <v>0.15</v>
      </c>
      <c r="K103" s="33" t="s">
        <v>19</v>
      </c>
      <c r="L103" s="37">
        <v>0.21</v>
      </c>
      <c r="M103" s="38">
        <f>(Tabla2[[#This Row],[Precio Unitario ARS]]-(Tabla2[[#This Row],[Precio Unitario ARS]]*Tabla2[[#This Row],[DTO]]))*Tabla2[[#This Row],[Cantidad]]</f>
        <v>17612</v>
      </c>
      <c r="N103" s="39">
        <f>Tabla2[[#This Row],[Subtotal ARS]]+(Tabla2[[#This Row],[Subtotal ARS]]*Tabla2[[#This Row],[IVA]])</f>
        <v>21310.52</v>
      </c>
      <c r="O103" s="39">
        <f>Tabla2[[#This Row],[TOTAL ARS]]/Tabla2[[#This Row],[TC BNA]]</f>
        <v>14.399000000000001</v>
      </c>
      <c r="P103" s="40">
        <f>_xlfn.XLOOKUP(A103,'TC_BNA xlsx'!A:A,'TC_BNA xlsx'!C:C,"No encontrado")</f>
        <v>1480</v>
      </c>
      <c r="Q103" s="22"/>
      <c r="R103" s="6"/>
      <c r="S103" s="6"/>
      <c r="T103" s="6"/>
    </row>
    <row r="104" spans="1:21" x14ac:dyDescent="0.25">
      <c r="A104" s="32">
        <v>46192</v>
      </c>
      <c r="B104" s="21">
        <f>MONTH(Tabla2[[#This Row],[Fecha]])</f>
        <v>6</v>
      </c>
      <c r="C104" s="22" t="s">
        <v>158</v>
      </c>
      <c r="D104" s="23" t="str">
        <f>IFERROR(_xlfn.XLOOKUP(Tabla2[[#This Row],[Artículo]],Tabla1[Artículos],Tabla1[Rubro]),"")</f>
        <v>Librería</v>
      </c>
      <c r="E104" s="33" t="s">
        <v>160</v>
      </c>
      <c r="F104" s="34">
        <v>10</v>
      </c>
      <c r="G104" s="33" t="s">
        <v>25</v>
      </c>
      <c r="H104" s="35">
        <v>5800</v>
      </c>
      <c r="I104" s="36">
        <f>Tabla2[[#This Row],[Precio Unitario ARS]]/Tabla2[[#This Row],[TC BNA]]</f>
        <v>3.9189189189189189</v>
      </c>
      <c r="J104" s="28">
        <v>0</v>
      </c>
      <c r="K104" s="33" t="s">
        <v>19</v>
      </c>
      <c r="L104" s="37">
        <v>0.21</v>
      </c>
      <c r="M104" s="38">
        <f>(Tabla2[[#This Row],[Precio Unitario ARS]]-(Tabla2[[#This Row],[Precio Unitario ARS]]*Tabla2[[#This Row],[DTO]]))*Tabla2[[#This Row],[Cantidad]]</f>
        <v>58000</v>
      </c>
      <c r="N104" s="39">
        <f>Tabla2[[#This Row],[Subtotal ARS]]+(Tabla2[[#This Row],[Subtotal ARS]]*Tabla2[[#This Row],[IVA]])</f>
        <v>70180</v>
      </c>
      <c r="O104" s="39">
        <f>Tabla2[[#This Row],[TOTAL ARS]]/Tabla2[[#This Row],[TC BNA]]</f>
        <v>47.418918918918919</v>
      </c>
      <c r="P104" s="40">
        <f>_xlfn.XLOOKUP(A104,'TC_BNA xlsx'!A:A,'TC_BNA xlsx'!C:C,"No encontrado")</f>
        <v>1480</v>
      </c>
      <c r="Q104" s="22"/>
      <c r="R104" s="6"/>
      <c r="S104" s="6"/>
      <c r="T104" s="6"/>
    </row>
    <row r="105" spans="1:21" x14ac:dyDescent="0.25">
      <c r="A105" s="20">
        <v>46196</v>
      </c>
      <c r="B105" s="21">
        <f>MONTH(Tabla2[[#This Row],[Fecha]])</f>
        <v>6</v>
      </c>
      <c r="C105" s="22" t="s">
        <v>55</v>
      </c>
      <c r="D105" s="23" t="str">
        <f>IFERROR(_xlfn.XLOOKUP(Tabla2[[#This Row],[Artículo]],Tabla1[Artículos],Tabla1[Rubro]),"")</f>
        <v>Embalaje</v>
      </c>
      <c r="E105" s="24" t="s">
        <v>16</v>
      </c>
      <c r="F105" s="25">
        <v>5</v>
      </c>
      <c r="G105" s="24" t="s">
        <v>17</v>
      </c>
      <c r="H105" s="26">
        <v>6169.95</v>
      </c>
      <c r="I105" s="27">
        <f>Tabla2[[#This Row],[Precio Unitario ARS]]/Tabla2[[#This Row],[TC BNA]]</f>
        <v>4.1409060402684563</v>
      </c>
      <c r="J105" s="28">
        <v>0.4</v>
      </c>
      <c r="K105" s="24" t="s">
        <v>19</v>
      </c>
      <c r="L105" s="42">
        <v>0.21</v>
      </c>
      <c r="M105" s="30">
        <f>(Tabla2[[#This Row],[Precio Unitario ARS]]-(Tabla2[[#This Row],[Precio Unitario ARS]]*Tabla2[[#This Row],[DTO]]))*Tabla2[[#This Row],[Cantidad]]</f>
        <v>18509.849999999999</v>
      </c>
      <c r="N105" s="26">
        <f>Tabla2[[#This Row],[Subtotal ARS]]+(Tabla2[[#This Row],[Subtotal ARS]]*Tabla2[[#This Row],[IVA]])</f>
        <v>22396.9185</v>
      </c>
      <c r="O105" s="26">
        <f>Tabla2[[#This Row],[TOTAL ARS]]/Tabla2[[#This Row],[TC BNA]]</f>
        <v>15.031488926174497</v>
      </c>
      <c r="P105" s="24">
        <f>_xlfn.XLOOKUP(A105,'TC_BNA xlsx'!A:A,'TC_BNA xlsx'!C:C,"No encontrado")</f>
        <v>1490</v>
      </c>
      <c r="Q105" s="23"/>
      <c r="R105" s="6"/>
      <c r="S105" s="6"/>
      <c r="T105" s="6"/>
    </row>
    <row r="106" spans="1:21" x14ac:dyDescent="0.25">
      <c r="A106" s="20">
        <v>46196</v>
      </c>
      <c r="B106" s="21">
        <f>MONTH(Tabla2[[#This Row],[Fecha]])</f>
        <v>6</v>
      </c>
      <c r="C106" s="22" t="s">
        <v>54</v>
      </c>
      <c r="D106" s="23" t="str">
        <f>IFERROR(_xlfn.XLOOKUP(Tabla2[[#This Row],[Artículo]],Tabla1[Artículos],Tabla1[Rubro]),"")</f>
        <v>Embalaje</v>
      </c>
      <c r="E106" s="24" t="s">
        <v>16</v>
      </c>
      <c r="F106" s="25">
        <v>20</v>
      </c>
      <c r="G106" s="24" t="s">
        <v>17</v>
      </c>
      <c r="H106" s="26">
        <v>22056.94</v>
      </c>
      <c r="I106" s="27">
        <f>Tabla2[[#This Row],[Precio Unitario ARS]]/Tabla2[[#This Row],[TC BNA]]</f>
        <v>14.80331543624161</v>
      </c>
      <c r="J106" s="28">
        <v>0.4</v>
      </c>
      <c r="K106" s="24" t="s">
        <v>19</v>
      </c>
      <c r="L106" s="29">
        <v>0.21</v>
      </c>
      <c r="M106" s="30">
        <f>(Tabla2[[#This Row],[Precio Unitario ARS]]-(Tabla2[[#This Row],[Precio Unitario ARS]]*Tabla2[[#This Row],[DTO]]))*Tabla2[[#This Row],[Cantidad]]</f>
        <v>264683.27999999997</v>
      </c>
      <c r="N106" s="26">
        <f>Tabla2[[#This Row],[Subtotal ARS]]+(Tabla2[[#This Row],[Subtotal ARS]]*Tabla2[[#This Row],[IVA]])</f>
        <v>320266.76879999996</v>
      </c>
      <c r="O106" s="26">
        <f>Tabla2[[#This Row],[TOTAL ARS]]/Tabla2[[#This Row],[TC BNA]]</f>
        <v>214.94414013422815</v>
      </c>
      <c r="P106" s="24">
        <f>_xlfn.XLOOKUP(A106,'TC_BNA xlsx'!A:A,'TC_BNA xlsx'!C:C,"No encontrado")</f>
        <v>1490</v>
      </c>
      <c r="Q106" s="23"/>
      <c r="R106" s="6"/>
      <c r="S106" s="6"/>
      <c r="T106" s="6"/>
    </row>
    <row r="107" spans="1:21" x14ac:dyDescent="0.25">
      <c r="A107" s="20">
        <v>46196</v>
      </c>
      <c r="B107" s="21">
        <f>MONTH(Tabla2[[#This Row],[Fecha]])</f>
        <v>6</v>
      </c>
      <c r="C107" s="22" t="s">
        <v>53</v>
      </c>
      <c r="D107" s="23" t="str">
        <f>IFERROR(_xlfn.XLOOKUP(Tabla2[[#This Row],[Artículo]],Tabla1[Artículos],Tabla1[Rubro]),"")</f>
        <v>Embalaje</v>
      </c>
      <c r="E107" s="24" t="s">
        <v>16</v>
      </c>
      <c r="F107" s="25">
        <v>5</v>
      </c>
      <c r="G107" s="24" t="s">
        <v>17</v>
      </c>
      <c r="H107" s="26">
        <v>27888.080000000002</v>
      </c>
      <c r="I107" s="27">
        <f>Tabla2[[#This Row],[Precio Unitario ARS]]/Tabla2[[#This Row],[TC BNA]]</f>
        <v>18.716832214765102</v>
      </c>
      <c r="J107" s="28">
        <v>0.4</v>
      </c>
      <c r="K107" s="24" t="s">
        <v>19</v>
      </c>
      <c r="L107" s="29">
        <v>0.21</v>
      </c>
      <c r="M107" s="30">
        <f>(Tabla2[[#This Row],[Precio Unitario ARS]]-(Tabla2[[#This Row],[Precio Unitario ARS]]*Tabla2[[#This Row],[DTO]]))*Tabla2[[#This Row],[Cantidad]]</f>
        <v>83664.239999999991</v>
      </c>
      <c r="N107" s="26">
        <f>Tabla2[[#This Row],[Subtotal ARS]]+(Tabla2[[#This Row],[Subtotal ARS]]*Tabla2[[#This Row],[IVA]])</f>
        <v>101233.73039999999</v>
      </c>
      <c r="O107" s="26">
        <f>Tabla2[[#This Row],[TOTAL ARS]]/Tabla2[[#This Row],[TC BNA]]</f>
        <v>67.94210093959731</v>
      </c>
      <c r="P107" s="24">
        <f>_xlfn.XLOOKUP(A107,'TC_BNA xlsx'!A:A,'TC_BNA xlsx'!C:C,"No encontrado")</f>
        <v>1490</v>
      </c>
      <c r="Q107" s="23"/>
      <c r="R107" s="6"/>
      <c r="S107" s="6"/>
      <c r="T107" s="6"/>
    </row>
    <row r="108" spans="1:21" x14ac:dyDescent="0.25">
      <c r="A108" s="32">
        <v>46196</v>
      </c>
      <c r="B108" s="21">
        <f>MONTH(Tabla2[[#This Row],[Fecha]])</f>
        <v>6</v>
      </c>
      <c r="C108" s="22" t="s">
        <v>89</v>
      </c>
      <c r="D108" s="41" t="str">
        <f>IFERROR(_xlfn.XLOOKUP(Tabla2[[#This Row],[Artículo]],Tabla1[Artículos],Tabla1[Rubro]),"")</f>
        <v>Embalaje</v>
      </c>
      <c r="E108" s="33" t="s">
        <v>124</v>
      </c>
      <c r="F108" s="34">
        <v>186</v>
      </c>
      <c r="G108" s="33" t="s">
        <v>150</v>
      </c>
      <c r="H108" s="35">
        <v>4736</v>
      </c>
      <c r="I108" s="36">
        <f>Tabla2[[#This Row],[Precio Unitario ARS]]/Tabla2[[#This Row],[TC BNA]]</f>
        <v>3.178523489932886</v>
      </c>
      <c r="J108" s="28">
        <v>0</v>
      </c>
      <c r="K108" s="33" t="s">
        <v>19</v>
      </c>
      <c r="L108" s="37">
        <v>0.21</v>
      </c>
      <c r="M108" s="38">
        <f>(Tabla2[[#This Row],[Precio Unitario ARS]]-(Tabla2[[#This Row],[Precio Unitario ARS]]*Tabla2[[#This Row],[DTO]]))*Tabla2[[#This Row],[Cantidad]]</f>
        <v>880896</v>
      </c>
      <c r="N108" s="39">
        <f>Tabla2[[#This Row],[Subtotal ARS]]+(Tabla2[[#This Row],[Subtotal ARS]]*Tabla2[[#This Row],[IVA]])</f>
        <v>1065884.1599999999</v>
      </c>
      <c r="O108" s="39">
        <f>Tabla2[[#This Row],[TOTAL ARS]]/Tabla2[[#This Row],[TC BNA]]</f>
        <v>715.3584966442952</v>
      </c>
      <c r="P108" s="40">
        <f>_xlfn.XLOOKUP(A108,'TC_BNA xlsx'!A:A,'TC_BNA xlsx'!C:C,"No encontrado")</f>
        <v>1490</v>
      </c>
      <c r="Q108" s="22"/>
      <c r="R108" s="6"/>
      <c r="S108" s="6"/>
      <c r="T108" s="6"/>
    </row>
    <row r="109" spans="1:21" x14ac:dyDescent="0.25">
      <c r="A109" s="32">
        <v>46196</v>
      </c>
      <c r="B109" s="21">
        <f>MONTH(Tabla2[[#This Row],[Fecha]])</f>
        <v>6</v>
      </c>
      <c r="C109" s="22" t="s">
        <v>92</v>
      </c>
      <c r="D109" s="41" t="str">
        <f>IFERROR(_xlfn.XLOOKUP(Tabla2[[#This Row],[Artículo]],Tabla1[Artículos],Tabla1[Rubro]),"")</f>
        <v>Embalaje</v>
      </c>
      <c r="E109" s="33" t="s">
        <v>124</v>
      </c>
      <c r="F109" s="34">
        <v>31</v>
      </c>
      <c r="G109" s="33" t="s">
        <v>150</v>
      </c>
      <c r="H109" s="35">
        <v>4380.8</v>
      </c>
      <c r="I109" s="36">
        <f>Tabla2[[#This Row],[Precio Unitario ARS]]/Tabla2[[#This Row],[TC BNA]]</f>
        <v>2.9401342281879197</v>
      </c>
      <c r="J109" s="28">
        <v>0</v>
      </c>
      <c r="K109" s="33" t="s">
        <v>19</v>
      </c>
      <c r="L109" s="37">
        <v>0.21</v>
      </c>
      <c r="M109" s="38">
        <f>(Tabla2[[#This Row],[Precio Unitario ARS]]-(Tabla2[[#This Row],[Precio Unitario ARS]]*Tabla2[[#This Row],[DTO]]))*Tabla2[[#This Row],[Cantidad]]</f>
        <v>135804.80000000002</v>
      </c>
      <c r="N109" s="39">
        <f>Tabla2[[#This Row],[Subtotal ARS]]+(Tabla2[[#This Row],[Subtotal ARS]]*Tabla2[[#This Row],[IVA]])</f>
        <v>164323.80800000002</v>
      </c>
      <c r="O109" s="39">
        <f>Tabla2[[#This Row],[TOTAL ARS]]/Tabla2[[#This Row],[TC BNA]]</f>
        <v>110.28443489932887</v>
      </c>
      <c r="P109" s="40">
        <f>_xlfn.XLOOKUP(A109,'TC_BNA xlsx'!A:A,'TC_BNA xlsx'!C:C,"No encontrado")</f>
        <v>1490</v>
      </c>
      <c r="Q109" s="22"/>
      <c r="R109" s="6"/>
      <c r="S109" s="6"/>
      <c r="T109" s="6"/>
    </row>
    <row r="110" spans="1:21" x14ac:dyDescent="0.25">
      <c r="A110" s="32">
        <v>46196</v>
      </c>
      <c r="B110" s="21">
        <f>MONTH(Tabla2[[#This Row],[Fecha]])</f>
        <v>6</v>
      </c>
      <c r="C110" s="22" t="s">
        <v>90</v>
      </c>
      <c r="D110" s="41" t="str">
        <f>IFERROR(_xlfn.XLOOKUP(Tabla2[[#This Row],[Artículo]],Tabla1[Artículos],Tabla1[Rubro]),"")</f>
        <v>Embalaje</v>
      </c>
      <c r="E110" s="33" t="s">
        <v>124</v>
      </c>
      <c r="F110" s="34">
        <v>18.600000000000001</v>
      </c>
      <c r="G110" s="33" t="s">
        <v>150</v>
      </c>
      <c r="H110" s="35">
        <v>5313.2</v>
      </c>
      <c r="I110" s="36">
        <f>Tabla2[[#This Row],[Precio Unitario ARS]]/Tabla2[[#This Row],[TC BNA]]</f>
        <v>3.5659060402684561</v>
      </c>
      <c r="J110" s="28">
        <v>0</v>
      </c>
      <c r="K110" s="33" t="s">
        <v>19</v>
      </c>
      <c r="L110" s="37">
        <v>0.21</v>
      </c>
      <c r="M110" s="38">
        <f>(Tabla2[[#This Row],[Precio Unitario ARS]]-(Tabla2[[#This Row],[Precio Unitario ARS]]*Tabla2[[#This Row],[DTO]]))*Tabla2[[#This Row],[Cantidad]]</f>
        <v>98825.52</v>
      </c>
      <c r="N110" s="39">
        <f>Tabla2[[#This Row],[Subtotal ARS]]+(Tabla2[[#This Row],[Subtotal ARS]]*Tabla2[[#This Row],[IVA]])</f>
        <v>119578.8792</v>
      </c>
      <c r="O110" s="39">
        <f>Tabla2[[#This Row],[TOTAL ARS]]/Tabla2[[#This Row],[TC BNA]]</f>
        <v>80.254281342281871</v>
      </c>
      <c r="P110" s="40">
        <f>_xlfn.XLOOKUP(A110,'TC_BNA xlsx'!A:A,'TC_BNA xlsx'!C:C,"No encontrado")</f>
        <v>1490</v>
      </c>
      <c r="Q110" s="22"/>
      <c r="R110" s="6"/>
      <c r="S110" s="6"/>
      <c r="T110" s="6"/>
    </row>
    <row r="111" spans="1:21" x14ac:dyDescent="0.25">
      <c r="A111" s="20">
        <v>46197</v>
      </c>
      <c r="B111" s="21">
        <f>MONTH(Tabla2[[#This Row],[Fecha]])</f>
        <v>6</v>
      </c>
      <c r="C111" s="22" t="s">
        <v>152</v>
      </c>
      <c r="D111" s="23" t="str">
        <f>IFERROR(_xlfn.XLOOKUP(Tabla2[[#This Row],[Artículo]],Tabla1[Artículos],Tabla1[Rubro]),"")</f>
        <v>Reventa</v>
      </c>
      <c r="E111" s="24" t="s">
        <v>155</v>
      </c>
      <c r="F111" s="25">
        <v>1000</v>
      </c>
      <c r="G111" s="24" t="s">
        <v>25</v>
      </c>
      <c r="H111" s="26">
        <v>450</v>
      </c>
      <c r="I111" s="27">
        <f>Tabla2[[#This Row],[Precio Unitario ARS]]/Tabla2[[#This Row],[TC BNA]]</f>
        <v>0.30100334448160537</v>
      </c>
      <c r="J111" s="28">
        <v>0</v>
      </c>
      <c r="K111" s="24" t="s">
        <v>19</v>
      </c>
      <c r="L111" s="29">
        <v>0.21</v>
      </c>
      <c r="M111" s="30">
        <f>(Tabla2[[#This Row],[Precio Unitario ARS]]-(Tabla2[[#This Row],[Precio Unitario ARS]]*Tabla2[[#This Row],[DTO]]))*Tabla2[[#This Row],[Cantidad]]</f>
        <v>450000</v>
      </c>
      <c r="N111" s="31">
        <f>Tabla2[[#This Row],[Subtotal ARS]]+(Tabla2[[#This Row],[Subtotal ARS]]*Tabla2[[#This Row],[IVA]])</f>
        <v>544500</v>
      </c>
      <c r="O111" s="31">
        <f>Tabla2[[#This Row],[TOTAL ARS]]/Tabla2[[#This Row],[TC BNA]]</f>
        <v>364.21404682274249</v>
      </c>
      <c r="P111" s="21">
        <f>_xlfn.XLOOKUP(A111,'TC_BNA xlsx'!A:A,'TC_BNA xlsx'!C:C,"No encontrado")</f>
        <v>1495</v>
      </c>
      <c r="Q111" s="23"/>
    </row>
    <row r="112" spans="1:21" x14ac:dyDescent="0.25">
      <c r="A112" s="20">
        <v>46197</v>
      </c>
      <c r="B112" s="21">
        <f>MONTH(Tabla2[[#This Row],[Fecha]])</f>
        <v>6</v>
      </c>
      <c r="C112" s="22" t="s">
        <v>153</v>
      </c>
      <c r="D112" s="23" t="str">
        <f>IFERROR(_xlfn.XLOOKUP(Tabla2[[#This Row],[Artículo]],Tabla1[Artículos],Tabla1[Rubro]),"")</f>
        <v>Reventa</v>
      </c>
      <c r="E112" s="24" t="s">
        <v>155</v>
      </c>
      <c r="F112" s="25">
        <v>1000</v>
      </c>
      <c r="G112" s="24" t="s">
        <v>25</v>
      </c>
      <c r="H112" s="26">
        <v>998</v>
      </c>
      <c r="I112" s="27">
        <f>Tabla2[[#This Row],[Precio Unitario ARS]]/Tabla2[[#This Row],[TC BNA]]</f>
        <v>0.6675585284280936</v>
      </c>
      <c r="J112" s="28">
        <v>0</v>
      </c>
      <c r="K112" s="24" t="s">
        <v>19</v>
      </c>
      <c r="L112" s="29">
        <v>0.21</v>
      </c>
      <c r="M112" s="30">
        <f>(Tabla2[[#This Row],[Precio Unitario ARS]]-(Tabla2[[#This Row],[Precio Unitario ARS]]*Tabla2[[#This Row],[DTO]]))*Tabla2[[#This Row],[Cantidad]]</f>
        <v>998000</v>
      </c>
      <c r="N112" s="31">
        <f>Tabla2[[#This Row],[Subtotal ARS]]+(Tabla2[[#This Row],[Subtotal ARS]]*Tabla2[[#This Row],[IVA]])</f>
        <v>1207580</v>
      </c>
      <c r="O112" s="31">
        <f>Tabla2[[#This Row],[TOTAL ARS]]/Tabla2[[#This Row],[TC BNA]]</f>
        <v>807.74581939799327</v>
      </c>
      <c r="P112" s="21">
        <f>_xlfn.XLOOKUP(A112,'TC_BNA xlsx'!A:A,'TC_BNA xlsx'!C:C,"No encontrado")</f>
        <v>1495</v>
      </c>
      <c r="Q112" s="23"/>
      <c r="R112" s="6"/>
      <c r="S112" s="6"/>
      <c r="T112" s="6"/>
      <c r="U112" s="6"/>
    </row>
    <row r="113" spans="1:21" x14ac:dyDescent="0.25">
      <c r="A113" s="20">
        <v>46197</v>
      </c>
      <c r="B113" s="21">
        <f>MONTH(Tabla2[[#This Row],[Fecha]])</f>
        <v>6</v>
      </c>
      <c r="C113" s="22" t="s">
        <v>154</v>
      </c>
      <c r="D113" s="23" t="str">
        <f>IFERROR(_xlfn.XLOOKUP(Tabla2[[#This Row],[Artículo]],Tabla1[Artículos],Tabla1[Rubro]),"")</f>
        <v>Reventa</v>
      </c>
      <c r="E113" s="24" t="s">
        <v>155</v>
      </c>
      <c r="F113" s="25">
        <v>1500</v>
      </c>
      <c r="G113" s="24" t="s">
        <v>25</v>
      </c>
      <c r="H113" s="26">
        <v>717</v>
      </c>
      <c r="I113" s="27">
        <f>Tabla2[[#This Row],[Precio Unitario ARS]]/Tabla2[[#This Row],[TC BNA]]</f>
        <v>0.47959866220735786</v>
      </c>
      <c r="J113" s="28">
        <v>0</v>
      </c>
      <c r="K113" s="24" t="s">
        <v>19</v>
      </c>
      <c r="L113" s="29">
        <v>0.21</v>
      </c>
      <c r="M113" s="30">
        <f>(Tabla2[[#This Row],[Precio Unitario ARS]]-(Tabla2[[#This Row],[Precio Unitario ARS]]*Tabla2[[#This Row],[DTO]]))*Tabla2[[#This Row],[Cantidad]]</f>
        <v>1075500</v>
      </c>
      <c r="N113" s="31">
        <f>Tabla2[[#This Row],[Subtotal ARS]]+(Tabla2[[#This Row],[Subtotal ARS]]*Tabla2[[#This Row],[IVA]])</f>
        <v>1301355</v>
      </c>
      <c r="O113" s="31">
        <f>Tabla2[[#This Row],[TOTAL ARS]]/Tabla2[[#This Row],[TC BNA]]</f>
        <v>870.47157190635448</v>
      </c>
      <c r="P113" s="21">
        <f>_xlfn.XLOOKUP(A113,'TC_BNA xlsx'!A:A,'TC_BNA xlsx'!C:C,"No encontrado")</f>
        <v>1495</v>
      </c>
      <c r="Q113" s="23"/>
      <c r="R113" s="6"/>
      <c r="S113" s="6"/>
      <c r="T113" s="6"/>
      <c r="U113" s="6"/>
    </row>
    <row r="114" spans="1:21" x14ac:dyDescent="0.25">
      <c r="A114" s="32">
        <v>46197</v>
      </c>
      <c r="B114" s="21">
        <f>MONTH(Tabla2[[#This Row],[Fecha]])</f>
        <v>6</v>
      </c>
      <c r="C114" s="22" t="s">
        <v>100</v>
      </c>
      <c r="D114" s="23" t="str">
        <f>IFERROR(_xlfn.XLOOKUP(Tabla2[[#This Row],[Artículo]],Tabla1[Artículos],Tabla1[Rubro]),"")</f>
        <v>Embalaje</v>
      </c>
      <c r="E114" s="33" t="s">
        <v>128</v>
      </c>
      <c r="F114" s="34">
        <v>10</v>
      </c>
      <c r="G114" s="33" t="s">
        <v>150</v>
      </c>
      <c r="H114" s="35">
        <v>7620</v>
      </c>
      <c r="I114" s="36">
        <f>Tabla2[[#This Row],[Precio Unitario ARS]]/Tabla2[[#This Row],[TC BNA]]</f>
        <v>5.0969899665551841</v>
      </c>
      <c r="J114" s="28">
        <v>0</v>
      </c>
      <c r="K114" s="33" t="s">
        <v>19</v>
      </c>
      <c r="L114" s="37">
        <v>0.21</v>
      </c>
      <c r="M114" s="38">
        <f>(Tabla2[[#This Row],[Precio Unitario ARS]]-(Tabla2[[#This Row],[Precio Unitario ARS]]*Tabla2[[#This Row],[DTO]]))*Tabla2[[#This Row],[Cantidad]]</f>
        <v>76200</v>
      </c>
      <c r="N114" s="39">
        <f>Tabla2[[#This Row],[Subtotal ARS]]+(Tabla2[[#This Row],[Subtotal ARS]]*Tabla2[[#This Row],[IVA]])</f>
        <v>92202</v>
      </c>
      <c r="O114" s="39">
        <f>Tabla2[[#This Row],[TOTAL ARS]]/Tabla2[[#This Row],[TC BNA]]</f>
        <v>61.673578595317728</v>
      </c>
      <c r="P114" s="40">
        <f>_xlfn.XLOOKUP(A114,'TC_BNA xlsx'!A:A,'TC_BNA xlsx'!C:C,"No encontrado")</f>
        <v>1495</v>
      </c>
      <c r="Q114" s="22"/>
      <c r="R114" s="6"/>
      <c r="S114" s="6"/>
      <c r="T114" s="6"/>
      <c r="U114" s="6"/>
    </row>
    <row r="115" spans="1:21" x14ac:dyDescent="0.25">
      <c r="A115" s="32">
        <v>46197</v>
      </c>
      <c r="B115" s="21">
        <f>MONTH(Tabla2[[#This Row],[Fecha]])</f>
        <v>6</v>
      </c>
      <c r="C115" s="22" t="s">
        <v>249</v>
      </c>
      <c r="D115" s="41" t="str">
        <f>IFERROR(_xlfn.XLOOKUP(Tabla2[[#This Row],[Artículo]],Tabla1[Artículos],Tabla1[Rubro]),"")</f>
        <v>EPP</v>
      </c>
      <c r="E115" s="33" t="s">
        <v>247</v>
      </c>
      <c r="F115" s="34">
        <v>1</v>
      </c>
      <c r="G115" s="33" t="s">
        <v>25</v>
      </c>
      <c r="H115" s="35">
        <v>32000</v>
      </c>
      <c r="I115" s="36">
        <f>Tabla2[[#This Row],[Precio Unitario ARS]]/Tabla2[[#This Row],[TC BNA]]</f>
        <v>21.404682274247492</v>
      </c>
      <c r="J115" s="28">
        <v>0</v>
      </c>
      <c r="K115" s="33" t="s">
        <v>19</v>
      </c>
      <c r="L115" s="37">
        <v>0.21</v>
      </c>
      <c r="M115" s="38">
        <f>(Tabla2[[#This Row],[Precio Unitario ARS]]-(Tabla2[[#This Row],[Precio Unitario ARS]]*Tabla2[[#This Row],[DTO]]))*Tabla2[[#This Row],[Cantidad]]</f>
        <v>32000</v>
      </c>
      <c r="N115" s="39">
        <f>Tabla2[[#This Row],[Subtotal ARS]]+(Tabla2[[#This Row],[Subtotal ARS]]*Tabla2[[#This Row],[IVA]])</f>
        <v>38720</v>
      </c>
      <c r="O115" s="39">
        <f>Tabla2[[#This Row],[TOTAL ARS]]/Tabla2[[#This Row],[TC BNA]]</f>
        <v>25.899665551839465</v>
      </c>
      <c r="P115" s="40">
        <f>_xlfn.XLOOKUP(A115,'TC_BNA xlsx'!A:A,'TC_BNA xlsx'!C:C,"No encontrado")</f>
        <v>1495</v>
      </c>
      <c r="Q115" s="22"/>
      <c r="R115" s="6"/>
      <c r="S115" s="6"/>
      <c r="T115" s="6"/>
      <c r="U115" s="6"/>
    </row>
    <row r="116" spans="1:21" x14ac:dyDescent="0.25">
      <c r="A116" s="32">
        <v>46197</v>
      </c>
      <c r="B116" s="21">
        <f>MONTH(Tabla2[[#This Row],[Fecha]])</f>
        <v>6</v>
      </c>
      <c r="C116" s="22" t="s">
        <v>148</v>
      </c>
      <c r="D116" s="41" t="str">
        <f>IFERROR(_xlfn.XLOOKUP(Tabla2[[#This Row],[Artículo]],Tabla1[Artículos],Tabla1[Rubro]),"")</f>
        <v>Reventa</v>
      </c>
      <c r="E116" s="33" t="s">
        <v>166</v>
      </c>
      <c r="F116" s="34">
        <v>100800</v>
      </c>
      <c r="G116" s="33" t="s">
        <v>25</v>
      </c>
      <c r="H116" s="35">
        <v>19.775860000000002</v>
      </c>
      <c r="I116" s="36">
        <f>Tabla2[[#This Row],[Precio Unitario ARS]]/Tabla2[[#This Row],[TC BNA]]</f>
        <v>1.3228E-2</v>
      </c>
      <c r="J116" s="28">
        <v>0.15379999999999999</v>
      </c>
      <c r="K116" s="33" t="s">
        <v>19</v>
      </c>
      <c r="L116" s="37">
        <v>0.21</v>
      </c>
      <c r="M116" s="38">
        <f>(Tabla2[[#This Row],[Precio Unitario ARS]]-(Tabla2[[#This Row],[Precio Unitario ARS]]*Tabla2[[#This Row],[DTO]]))*Tabla2[[#This Row],[Cantidad]]</f>
        <v>1686820.7393856002</v>
      </c>
      <c r="N116" s="39">
        <f>Tabla2[[#This Row],[Subtotal ARS]]+(Tabla2[[#This Row],[Subtotal ARS]]*Tabla2[[#This Row],[IVA]])</f>
        <v>2041053.0946565762</v>
      </c>
      <c r="O116" s="39">
        <f>Tabla2[[#This Row],[TOTAL ARS]]/Tabla2[[#This Row],[TC BNA]]</f>
        <v>1365.2529061248001</v>
      </c>
      <c r="P116" s="40">
        <f>_xlfn.XLOOKUP(A116,'TC_BNA xlsx'!A:A,'TC_BNA xlsx'!C:C,"No encontrado")</f>
        <v>1495</v>
      </c>
      <c r="Q116" s="22"/>
      <c r="R116" s="6"/>
      <c r="S116" s="6"/>
      <c r="T116" s="6"/>
      <c r="U116" s="6"/>
    </row>
    <row r="117" spans="1:21" x14ac:dyDescent="0.25">
      <c r="A117" s="32">
        <v>46197</v>
      </c>
      <c r="B117" s="21">
        <f>MONTH(Tabla2[[#This Row],[Fecha]])</f>
        <v>6</v>
      </c>
      <c r="C117" s="22" t="s">
        <v>67</v>
      </c>
      <c r="D117" s="41" t="str">
        <f>IFERROR(_xlfn.XLOOKUP(Tabla2[[#This Row],[Artículo]],Tabla1[Artículos],Tabla1[Rubro]),"")</f>
        <v>Herramientas</v>
      </c>
      <c r="E117" s="33" t="s">
        <v>118</v>
      </c>
      <c r="F117" s="34">
        <v>1</v>
      </c>
      <c r="G117" s="33" t="s">
        <v>25</v>
      </c>
      <c r="H117" s="35">
        <v>59500</v>
      </c>
      <c r="I117" s="36">
        <f>Tabla2[[#This Row],[Precio Unitario ARS]]/Tabla2[[#This Row],[TC BNA]]</f>
        <v>39.799331103678931</v>
      </c>
      <c r="J117" s="28">
        <v>0</v>
      </c>
      <c r="K117" s="33" t="s">
        <v>19</v>
      </c>
      <c r="L117" s="37">
        <v>0.21</v>
      </c>
      <c r="M117" s="38">
        <f>(Tabla2[[#This Row],[Precio Unitario ARS]]-(Tabla2[[#This Row],[Precio Unitario ARS]]*Tabla2[[#This Row],[DTO]]))*Tabla2[[#This Row],[Cantidad]]</f>
        <v>59500</v>
      </c>
      <c r="N117" s="39">
        <f>Tabla2[[#This Row],[Subtotal ARS]]+(Tabla2[[#This Row],[Subtotal ARS]]*Tabla2[[#This Row],[IVA]])</f>
        <v>71995</v>
      </c>
      <c r="O117" s="39">
        <f>Tabla2[[#This Row],[TOTAL ARS]]/Tabla2[[#This Row],[TC BNA]]</f>
        <v>48.157190635451506</v>
      </c>
      <c r="P117" s="40">
        <f>_xlfn.XLOOKUP(A117,'TC_BNA xlsx'!A:A,'TC_BNA xlsx'!C:C,"No encontrado")</f>
        <v>1495</v>
      </c>
      <c r="Q117" s="22"/>
      <c r="R117" s="6"/>
      <c r="S117" s="6"/>
      <c r="T117" s="6"/>
      <c r="U117" s="6"/>
    </row>
    <row r="118" spans="1:21" x14ac:dyDescent="0.25">
      <c r="A118" s="32">
        <v>46197</v>
      </c>
      <c r="B118" s="21">
        <f>MONTH(Tabla2[[#This Row],[Fecha]])</f>
        <v>6</v>
      </c>
      <c r="C118" s="22" t="s">
        <v>312</v>
      </c>
      <c r="D118" s="41" t="str">
        <f>IFERROR(_xlfn.XLOOKUP(Tabla2[[#This Row],[Artículo]],Tabla1[Artículos],Tabla1[Rubro]),"")</f>
        <v>Herramientas</v>
      </c>
      <c r="E118" s="33" t="s">
        <v>118</v>
      </c>
      <c r="F118" s="34">
        <v>2</v>
      </c>
      <c r="G118" s="33" t="s">
        <v>25</v>
      </c>
      <c r="H118" s="35">
        <v>37000</v>
      </c>
      <c r="I118" s="36">
        <f>Tabla2[[#This Row],[Precio Unitario ARS]]/Tabla2[[#This Row],[TC BNA]]</f>
        <v>24.749163879598662</v>
      </c>
      <c r="J118" s="28">
        <v>0.1</v>
      </c>
      <c r="K118" s="33" t="s">
        <v>19</v>
      </c>
      <c r="L118" s="37">
        <v>0.21</v>
      </c>
      <c r="M118" s="38">
        <f>(Tabla2[[#This Row],[Precio Unitario ARS]]-(Tabla2[[#This Row],[Precio Unitario ARS]]*Tabla2[[#This Row],[DTO]]))*Tabla2[[#This Row],[Cantidad]]</f>
        <v>66600</v>
      </c>
      <c r="N118" s="39">
        <f>Tabla2[[#This Row],[Subtotal ARS]]+(Tabla2[[#This Row],[Subtotal ARS]]*Tabla2[[#This Row],[IVA]])</f>
        <v>80586</v>
      </c>
      <c r="O118" s="39">
        <f>Tabla2[[#This Row],[TOTAL ARS]]/Tabla2[[#This Row],[TC BNA]]</f>
        <v>53.903678929765888</v>
      </c>
      <c r="P118" s="40">
        <f>_xlfn.XLOOKUP(A118,'TC_BNA xlsx'!A:A,'TC_BNA xlsx'!C:C,"No encontrado")</f>
        <v>1495</v>
      </c>
      <c r="Q118" s="22"/>
      <c r="R118" s="6"/>
      <c r="S118" s="6"/>
      <c r="T118" s="6"/>
      <c r="U118" s="6"/>
    </row>
    <row r="119" spans="1:21" x14ac:dyDescent="0.25">
      <c r="A119" s="32">
        <v>46197</v>
      </c>
      <c r="B119" s="21">
        <f>MONTH(Tabla2[[#This Row],[Fecha]])</f>
        <v>6</v>
      </c>
      <c r="C119" s="22" t="s">
        <v>183</v>
      </c>
      <c r="D119" s="41" t="str">
        <f>IFERROR(_xlfn.XLOOKUP(Tabla2[[#This Row],[Artículo]],Tabla1[Artículos],Tabla1[Rubro]),"")</f>
        <v>Limpieza</v>
      </c>
      <c r="E119" s="33" t="s">
        <v>214</v>
      </c>
      <c r="F119" s="34">
        <v>6</v>
      </c>
      <c r="G119" s="33" t="s">
        <v>25</v>
      </c>
      <c r="H119" s="35">
        <v>3198.34</v>
      </c>
      <c r="I119" s="36">
        <f>Tabla2[[#This Row],[Precio Unitario ARS]]/Tabla2[[#This Row],[TC BNA]]</f>
        <v>2.1393578595317728</v>
      </c>
      <c r="J119" s="28">
        <v>0</v>
      </c>
      <c r="K119" s="33" t="s">
        <v>19</v>
      </c>
      <c r="L119" s="37">
        <v>0.21</v>
      </c>
      <c r="M119" s="38">
        <f>(Tabla2[[#This Row],[Precio Unitario ARS]]-(Tabla2[[#This Row],[Precio Unitario ARS]]*Tabla2[[#This Row],[DTO]]))*Tabla2[[#This Row],[Cantidad]]</f>
        <v>19190.04</v>
      </c>
      <c r="N119" s="39">
        <f>Tabla2[[#This Row],[Subtotal ARS]]+(Tabla2[[#This Row],[Subtotal ARS]]*Tabla2[[#This Row],[IVA]])</f>
        <v>23219.948400000001</v>
      </c>
      <c r="O119" s="39">
        <f>Tabla2[[#This Row],[TOTAL ARS]]/Tabla2[[#This Row],[TC BNA]]</f>
        <v>15.53173806020067</v>
      </c>
      <c r="P119" s="40">
        <f>_xlfn.XLOOKUP(A119,'TC_BNA xlsx'!A:A,'TC_BNA xlsx'!C:C,"No encontrado")</f>
        <v>1495</v>
      </c>
      <c r="Q119" s="22"/>
      <c r="R119" s="6"/>
      <c r="S119" s="6"/>
      <c r="T119" s="6"/>
      <c r="U119" s="6"/>
    </row>
    <row r="120" spans="1:21" x14ac:dyDescent="0.25">
      <c r="A120" s="32">
        <v>46197</v>
      </c>
      <c r="B120" s="21">
        <f>MONTH(Tabla2[[#This Row],[Fecha]])</f>
        <v>6</v>
      </c>
      <c r="C120" s="22" t="s">
        <v>185</v>
      </c>
      <c r="D120" s="41" t="str">
        <f>IFERROR(_xlfn.XLOOKUP(Tabla2[[#This Row],[Artículo]],Tabla1[Artículos],Tabla1[Rubro]),"")</f>
        <v>Limpieza</v>
      </c>
      <c r="E120" s="33" t="s">
        <v>214</v>
      </c>
      <c r="F120" s="34">
        <v>3</v>
      </c>
      <c r="G120" s="33" t="s">
        <v>325</v>
      </c>
      <c r="H120" s="35">
        <v>570.24</v>
      </c>
      <c r="I120" s="36">
        <f>Tabla2[[#This Row],[Precio Unitario ARS]]/Tabla2[[#This Row],[TC BNA]]</f>
        <v>0.38143143812709029</v>
      </c>
      <c r="J120" s="28">
        <v>0</v>
      </c>
      <c r="K120" s="33" t="s">
        <v>19</v>
      </c>
      <c r="L120" s="37">
        <v>0.21</v>
      </c>
      <c r="M120" s="38">
        <f>(Tabla2[[#This Row],[Precio Unitario ARS]]-(Tabla2[[#This Row],[Precio Unitario ARS]]*Tabla2[[#This Row],[DTO]]))*Tabla2[[#This Row],[Cantidad]]</f>
        <v>1710.72</v>
      </c>
      <c r="N120" s="39">
        <f>Tabla2[[#This Row],[Subtotal ARS]]+(Tabla2[[#This Row],[Subtotal ARS]]*Tabla2[[#This Row],[IVA]])</f>
        <v>2069.9712</v>
      </c>
      <c r="O120" s="39">
        <f>Tabla2[[#This Row],[TOTAL ARS]]/Tabla2[[#This Row],[TC BNA]]</f>
        <v>1.3845961204013377</v>
      </c>
      <c r="P120" s="40">
        <f>_xlfn.XLOOKUP(A120,'TC_BNA xlsx'!A:A,'TC_BNA xlsx'!C:C,"No encontrado")</f>
        <v>1495</v>
      </c>
      <c r="Q120" s="22"/>
      <c r="R120" s="6"/>
      <c r="S120" s="6"/>
      <c r="T120" s="6"/>
      <c r="U120" s="6"/>
    </row>
    <row r="121" spans="1:21" x14ac:dyDescent="0.25">
      <c r="A121" s="32">
        <v>46197</v>
      </c>
      <c r="B121" s="21">
        <f>MONTH(Tabla2[[#This Row],[Fecha]])</f>
        <v>6</v>
      </c>
      <c r="C121" s="22" t="s">
        <v>186</v>
      </c>
      <c r="D121" s="41" t="str">
        <f>IFERROR(_xlfn.XLOOKUP(Tabla2[[#This Row],[Artículo]],Tabla1[Artículos],Tabla1[Rubro]),"")</f>
        <v>Limpieza</v>
      </c>
      <c r="E121" s="33" t="s">
        <v>214</v>
      </c>
      <c r="F121" s="34">
        <v>20</v>
      </c>
      <c r="G121" s="33" t="s">
        <v>325</v>
      </c>
      <c r="H121" s="35">
        <v>1694.21</v>
      </c>
      <c r="I121" s="36">
        <f>Tabla2[[#This Row],[Precio Unitario ARS]]/Tabla2[[#This Row],[TC BNA]]</f>
        <v>1.1332508361204015</v>
      </c>
      <c r="J121" s="28">
        <v>0</v>
      </c>
      <c r="K121" s="33" t="s">
        <v>19</v>
      </c>
      <c r="L121" s="37">
        <v>0.21</v>
      </c>
      <c r="M121" s="38">
        <f>(Tabla2[[#This Row],[Precio Unitario ARS]]-(Tabla2[[#This Row],[Precio Unitario ARS]]*Tabla2[[#This Row],[DTO]]))*Tabla2[[#This Row],[Cantidad]]</f>
        <v>33884.199999999997</v>
      </c>
      <c r="N121" s="39">
        <f>Tabla2[[#This Row],[Subtotal ARS]]+(Tabla2[[#This Row],[Subtotal ARS]]*Tabla2[[#This Row],[IVA]])</f>
        <v>40999.881999999998</v>
      </c>
      <c r="O121" s="39">
        <f>Tabla2[[#This Row],[TOTAL ARS]]/Tabla2[[#This Row],[TC BNA]]</f>
        <v>27.424670234113712</v>
      </c>
      <c r="P121" s="40">
        <f>_xlfn.XLOOKUP(A121,'TC_BNA xlsx'!A:A,'TC_BNA xlsx'!C:C,"No encontrado")</f>
        <v>1495</v>
      </c>
      <c r="Q121" s="22"/>
      <c r="R121" s="6"/>
      <c r="S121" s="6"/>
      <c r="T121" s="6"/>
      <c r="U121" s="6"/>
    </row>
    <row r="122" spans="1:21" x14ac:dyDescent="0.25">
      <c r="A122" s="32">
        <v>46197</v>
      </c>
      <c r="B122" s="21">
        <f>MONTH(Tabla2[[#This Row],[Fecha]])</f>
        <v>6</v>
      </c>
      <c r="C122" s="22" t="s">
        <v>187</v>
      </c>
      <c r="D122" s="41" t="str">
        <f>IFERROR(_xlfn.XLOOKUP(Tabla2[[#This Row],[Artículo]],Tabla1[Artículos],Tabla1[Rubro]),"")</f>
        <v>Limpieza</v>
      </c>
      <c r="E122" s="33" t="s">
        <v>214</v>
      </c>
      <c r="F122" s="34">
        <v>3</v>
      </c>
      <c r="G122" s="33" t="s">
        <v>25</v>
      </c>
      <c r="H122" s="35">
        <v>504.13</v>
      </c>
      <c r="I122" s="36">
        <f>Tabla2[[#This Row],[Precio Unitario ARS]]/Tabla2[[#This Row],[TC BNA]]</f>
        <v>0.33721070234113715</v>
      </c>
      <c r="J122" s="28">
        <v>0</v>
      </c>
      <c r="K122" s="33" t="s">
        <v>19</v>
      </c>
      <c r="L122" s="37">
        <v>0.21</v>
      </c>
      <c r="M122" s="38">
        <f>(Tabla2[[#This Row],[Precio Unitario ARS]]-(Tabla2[[#This Row],[Precio Unitario ARS]]*Tabla2[[#This Row],[DTO]]))*Tabla2[[#This Row],[Cantidad]]</f>
        <v>1512.3899999999999</v>
      </c>
      <c r="N122" s="39">
        <f>Tabla2[[#This Row],[Subtotal ARS]]+(Tabla2[[#This Row],[Subtotal ARS]]*Tabla2[[#This Row],[IVA]])</f>
        <v>1829.9918999999998</v>
      </c>
      <c r="O122" s="39">
        <f>Tabla2[[#This Row],[TOTAL ARS]]/Tabla2[[#This Row],[TC BNA]]</f>
        <v>1.2240748494983276</v>
      </c>
      <c r="P122" s="40">
        <f>_xlfn.XLOOKUP(A122,'TC_BNA xlsx'!A:A,'TC_BNA xlsx'!C:C,"No encontrado")</f>
        <v>1495</v>
      </c>
      <c r="Q122" s="22"/>
      <c r="R122" s="6"/>
      <c r="S122" s="6"/>
      <c r="T122" s="6"/>
      <c r="U122" s="6"/>
    </row>
    <row r="123" spans="1:21" x14ac:dyDescent="0.25">
      <c r="A123" s="32">
        <v>46197</v>
      </c>
      <c r="B123" s="21">
        <f>MONTH(Tabla2[[#This Row],[Fecha]])</f>
        <v>6</v>
      </c>
      <c r="C123" s="22" t="s">
        <v>188</v>
      </c>
      <c r="D123" s="41" t="str">
        <f>IFERROR(_xlfn.XLOOKUP(Tabla2[[#This Row],[Artículo]],Tabla1[Artículos],Tabla1[Rubro]),"")</f>
        <v>Limpieza</v>
      </c>
      <c r="E123" s="33" t="s">
        <v>214</v>
      </c>
      <c r="F123" s="34">
        <v>3</v>
      </c>
      <c r="G123" s="33" t="s">
        <v>326</v>
      </c>
      <c r="H123" s="35">
        <v>2809.91</v>
      </c>
      <c r="I123" s="36">
        <f>Tabla2[[#This Row],[Precio Unitario ARS]]/Tabla2[[#This Row],[TC BNA]]</f>
        <v>1.8795384615384614</v>
      </c>
      <c r="J123" s="28">
        <v>0</v>
      </c>
      <c r="K123" s="33" t="s">
        <v>19</v>
      </c>
      <c r="L123" s="37">
        <v>0.21</v>
      </c>
      <c r="M123" s="38">
        <f>(Tabla2[[#This Row],[Precio Unitario ARS]]-(Tabla2[[#This Row],[Precio Unitario ARS]]*Tabla2[[#This Row],[DTO]]))*Tabla2[[#This Row],[Cantidad]]</f>
        <v>8429.73</v>
      </c>
      <c r="N123" s="39">
        <f>Tabla2[[#This Row],[Subtotal ARS]]+(Tabla2[[#This Row],[Subtotal ARS]]*Tabla2[[#This Row],[IVA]])</f>
        <v>10199.9733</v>
      </c>
      <c r="O123" s="39">
        <f>Tabla2[[#This Row],[TOTAL ARS]]/Tabla2[[#This Row],[TC BNA]]</f>
        <v>6.8227246153846153</v>
      </c>
      <c r="P123" s="40">
        <f>_xlfn.XLOOKUP(A123,'TC_BNA xlsx'!A:A,'TC_BNA xlsx'!C:C,"No encontrado")</f>
        <v>1495</v>
      </c>
      <c r="Q123" s="22"/>
      <c r="R123" s="6"/>
      <c r="S123" s="6"/>
      <c r="T123" s="6"/>
      <c r="U123" s="6"/>
    </row>
    <row r="124" spans="1:21" x14ac:dyDescent="0.25">
      <c r="A124" s="32">
        <v>46197</v>
      </c>
      <c r="B124" s="21">
        <f>MONTH(Tabla2[[#This Row],[Fecha]])</f>
        <v>6</v>
      </c>
      <c r="C124" s="22" t="s">
        <v>189</v>
      </c>
      <c r="D124" s="41" t="str">
        <f>IFERROR(_xlfn.XLOOKUP(Tabla2[[#This Row],[Artículo]],Tabla1[Artículos],Tabla1[Rubro]),"")</f>
        <v>Limpieza</v>
      </c>
      <c r="E124" s="33" t="s">
        <v>214</v>
      </c>
      <c r="F124" s="34">
        <v>1</v>
      </c>
      <c r="G124" s="33" t="s">
        <v>25</v>
      </c>
      <c r="H124" s="35">
        <v>2628.09</v>
      </c>
      <c r="I124" s="36">
        <f>Tabla2[[#This Row],[Precio Unitario ARS]]/Tabla2[[#This Row],[TC BNA]]</f>
        <v>1.7579197324414717</v>
      </c>
      <c r="J124" s="28">
        <v>0</v>
      </c>
      <c r="K124" s="33" t="s">
        <v>19</v>
      </c>
      <c r="L124" s="37">
        <v>0.21</v>
      </c>
      <c r="M124" s="38">
        <f>(Tabla2[[#This Row],[Precio Unitario ARS]]-(Tabla2[[#This Row],[Precio Unitario ARS]]*Tabla2[[#This Row],[DTO]]))*Tabla2[[#This Row],[Cantidad]]</f>
        <v>2628.09</v>
      </c>
      <c r="N124" s="39">
        <f>Tabla2[[#This Row],[Subtotal ARS]]+(Tabla2[[#This Row],[Subtotal ARS]]*Tabla2[[#This Row],[IVA]])</f>
        <v>3179.9889000000003</v>
      </c>
      <c r="O124" s="39">
        <f>Tabla2[[#This Row],[TOTAL ARS]]/Tabla2[[#This Row],[TC BNA]]</f>
        <v>2.1270828762541809</v>
      </c>
      <c r="P124" s="40">
        <f>_xlfn.XLOOKUP(A124,'TC_BNA xlsx'!A:A,'TC_BNA xlsx'!C:C,"No encontrado")</f>
        <v>1495</v>
      </c>
      <c r="Q124" s="22"/>
      <c r="R124" s="6"/>
      <c r="S124" s="6"/>
      <c r="T124" s="6"/>
      <c r="U124" s="6"/>
    </row>
    <row r="125" spans="1:21" x14ac:dyDescent="0.25">
      <c r="A125" s="32">
        <v>46197</v>
      </c>
      <c r="B125" s="21">
        <f>MONTH(Tabla2[[#This Row],[Fecha]])</f>
        <v>6</v>
      </c>
      <c r="C125" s="22" t="s">
        <v>197</v>
      </c>
      <c r="D125" s="41" t="str">
        <f>IFERROR(_xlfn.XLOOKUP(Tabla2[[#This Row],[Artículo]],Tabla1[Artículos],Tabla1[Rubro]),"")</f>
        <v>Limpieza</v>
      </c>
      <c r="E125" s="33" t="s">
        <v>214</v>
      </c>
      <c r="F125" s="34">
        <v>1</v>
      </c>
      <c r="G125" s="33" t="s">
        <v>326</v>
      </c>
      <c r="H125" s="35">
        <v>8264.4599999999991</v>
      </c>
      <c r="I125" s="36">
        <f>Tabla2[[#This Row],[Precio Unitario ARS]]/Tabla2[[#This Row],[TC BNA]]</f>
        <v>5.5280668896321066</v>
      </c>
      <c r="J125" s="28">
        <v>0</v>
      </c>
      <c r="K125" s="33" t="s">
        <v>19</v>
      </c>
      <c r="L125" s="37">
        <v>0.21</v>
      </c>
      <c r="M125" s="38">
        <f>(Tabla2[[#This Row],[Precio Unitario ARS]]-(Tabla2[[#This Row],[Precio Unitario ARS]]*Tabla2[[#This Row],[DTO]]))*Tabla2[[#This Row],[Cantidad]]</f>
        <v>8264.4599999999991</v>
      </c>
      <c r="N125" s="39">
        <f>Tabla2[[#This Row],[Subtotal ARS]]+(Tabla2[[#This Row],[Subtotal ARS]]*Tabla2[[#This Row],[IVA]])</f>
        <v>9999.9965999999986</v>
      </c>
      <c r="O125" s="39">
        <f>Tabla2[[#This Row],[TOTAL ARS]]/Tabla2[[#This Row],[TC BNA]]</f>
        <v>6.6889609364548486</v>
      </c>
      <c r="P125" s="40">
        <f>_xlfn.XLOOKUP(A125,'TC_BNA xlsx'!A:A,'TC_BNA xlsx'!C:C,"No encontrado")</f>
        <v>1495</v>
      </c>
      <c r="Q125" s="22"/>
      <c r="R125" s="6"/>
      <c r="S125" s="6"/>
      <c r="T125" s="6"/>
      <c r="U125" s="6"/>
    </row>
    <row r="126" spans="1:21" x14ac:dyDescent="0.25">
      <c r="A126" s="32">
        <v>46197</v>
      </c>
      <c r="B126" s="21">
        <f>MONTH(Tabla2[[#This Row],[Fecha]])</f>
        <v>6</v>
      </c>
      <c r="C126" s="22" t="s">
        <v>198</v>
      </c>
      <c r="D126" s="41" t="str">
        <f>IFERROR(_xlfn.XLOOKUP(Tabla2[[#This Row],[Artículo]],Tabla1[Artículos],Tabla1[Rubro]),"")</f>
        <v>Limpieza</v>
      </c>
      <c r="E126" s="33" t="s">
        <v>214</v>
      </c>
      <c r="F126" s="34">
        <v>1</v>
      </c>
      <c r="G126" s="33" t="s">
        <v>326</v>
      </c>
      <c r="H126" s="35">
        <v>7561.98</v>
      </c>
      <c r="I126" s="36">
        <f>Tabla2[[#This Row],[Precio Unitario ARS]]/Tabla2[[#This Row],[TC BNA]]</f>
        <v>5.0581806020066891</v>
      </c>
      <c r="J126" s="28">
        <v>0</v>
      </c>
      <c r="K126" s="33" t="s">
        <v>19</v>
      </c>
      <c r="L126" s="37">
        <v>0.21</v>
      </c>
      <c r="M126" s="38">
        <f>(Tabla2[[#This Row],[Precio Unitario ARS]]-(Tabla2[[#This Row],[Precio Unitario ARS]]*Tabla2[[#This Row],[DTO]]))*Tabla2[[#This Row],[Cantidad]]</f>
        <v>7561.98</v>
      </c>
      <c r="N126" s="39">
        <f>Tabla2[[#This Row],[Subtotal ARS]]+(Tabla2[[#This Row],[Subtotal ARS]]*Tabla2[[#This Row],[IVA]])</f>
        <v>9149.9957999999988</v>
      </c>
      <c r="O126" s="39">
        <f>Tabla2[[#This Row],[TOTAL ARS]]/Tabla2[[#This Row],[TC BNA]]</f>
        <v>6.1203985284280931</v>
      </c>
      <c r="P126" s="40">
        <f>_xlfn.XLOOKUP(A126,'TC_BNA xlsx'!A:A,'TC_BNA xlsx'!C:C,"No encontrado")</f>
        <v>1495</v>
      </c>
      <c r="Q126" s="22"/>
      <c r="R126" s="6"/>
      <c r="S126" s="6"/>
      <c r="T126" s="6"/>
      <c r="U126" s="6"/>
    </row>
    <row r="127" spans="1:21" x14ac:dyDescent="0.25">
      <c r="A127" s="32">
        <v>46197</v>
      </c>
      <c r="B127" s="21">
        <f>MONTH(Tabla2[[#This Row],[Fecha]])</f>
        <v>6</v>
      </c>
      <c r="C127" s="22" t="s">
        <v>203</v>
      </c>
      <c r="D127" s="41" t="str">
        <f>IFERROR(_xlfn.XLOOKUP(Tabla2[[#This Row],[Artículo]],Tabla1[Artículos],Tabla1[Rubro]),"")</f>
        <v>Limpieza</v>
      </c>
      <c r="E127" s="33" t="s">
        <v>214</v>
      </c>
      <c r="F127" s="34">
        <v>1</v>
      </c>
      <c r="G127" s="33" t="s">
        <v>326</v>
      </c>
      <c r="H127" s="35">
        <v>14008.26</v>
      </c>
      <c r="I127" s="36">
        <f>Tabla2[[#This Row],[Precio Unitario ARS]]/Tabla2[[#This Row],[TC BNA]]</f>
        <v>9.3700735785953171</v>
      </c>
      <c r="J127" s="28">
        <v>0</v>
      </c>
      <c r="K127" s="33" t="s">
        <v>19</v>
      </c>
      <c r="L127" s="37">
        <v>0.21</v>
      </c>
      <c r="M127" s="38">
        <f>(Tabla2[[#This Row],[Precio Unitario ARS]]-(Tabla2[[#This Row],[Precio Unitario ARS]]*Tabla2[[#This Row],[DTO]]))*Tabla2[[#This Row],[Cantidad]]</f>
        <v>14008.26</v>
      </c>
      <c r="N127" s="39">
        <f>Tabla2[[#This Row],[Subtotal ARS]]+(Tabla2[[#This Row],[Subtotal ARS]]*Tabla2[[#This Row],[IVA]])</f>
        <v>16949.994599999998</v>
      </c>
      <c r="O127" s="39">
        <f>Tabla2[[#This Row],[TOTAL ARS]]/Tabla2[[#This Row],[TC BNA]]</f>
        <v>11.337789030100334</v>
      </c>
      <c r="P127" s="40">
        <f>_xlfn.XLOOKUP(A127,'TC_BNA xlsx'!A:A,'TC_BNA xlsx'!C:C,"No encontrado")</f>
        <v>1495</v>
      </c>
      <c r="Q127" s="22"/>
      <c r="R127" s="6"/>
      <c r="S127" s="6"/>
      <c r="T127" s="6"/>
      <c r="U127" s="6"/>
    </row>
    <row r="128" spans="1:21" x14ac:dyDescent="0.25">
      <c r="A128" s="32">
        <v>46197</v>
      </c>
      <c r="B128" s="21">
        <f>MONTH(Tabla2[[#This Row],[Fecha]])</f>
        <v>6</v>
      </c>
      <c r="C128" s="22" t="s">
        <v>211</v>
      </c>
      <c r="D128" s="41" t="str">
        <f>IFERROR(_xlfn.XLOOKUP(Tabla2[[#This Row],[Artículo]],Tabla1[Artículos],Tabla1[Rubro]),"")</f>
        <v>Limpieza</v>
      </c>
      <c r="E128" s="33" t="s">
        <v>214</v>
      </c>
      <c r="F128" s="34">
        <v>2</v>
      </c>
      <c r="G128" s="33" t="s">
        <v>25</v>
      </c>
      <c r="H128" s="35">
        <v>1206.6099999999999</v>
      </c>
      <c r="I128" s="36">
        <f>Tabla2[[#This Row],[Precio Unitario ARS]]/Tabla2[[#This Row],[TC BNA]]</f>
        <v>0.8070969899665551</v>
      </c>
      <c r="J128" s="28">
        <v>0</v>
      </c>
      <c r="K128" s="33" t="s">
        <v>19</v>
      </c>
      <c r="L128" s="37">
        <v>0.21</v>
      </c>
      <c r="M128" s="38">
        <f>(Tabla2[[#This Row],[Precio Unitario ARS]]-(Tabla2[[#This Row],[Precio Unitario ARS]]*Tabla2[[#This Row],[DTO]]))*Tabla2[[#This Row],[Cantidad]]</f>
        <v>2413.2199999999998</v>
      </c>
      <c r="N128" s="39">
        <f>Tabla2[[#This Row],[Subtotal ARS]]+(Tabla2[[#This Row],[Subtotal ARS]]*Tabla2[[#This Row],[IVA]])</f>
        <v>2919.9961999999996</v>
      </c>
      <c r="O128" s="39">
        <f>Tabla2[[#This Row],[TOTAL ARS]]/Tabla2[[#This Row],[TC BNA]]</f>
        <v>1.9531747157190633</v>
      </c>
      <c r="P128" s="40">
        <f>_xlfn.XLOOKUP(A128,'TC_BNA xlsx'!A:A,'TC_BNA xlsx'!C:C,"No encontrado")</f>
        <v>1495</v>
      </c>
      <c r="Q128" s="22"/>
      <c r="R128" s="6"/>
      <c r="S128" s="6"/>
      <c r="T128" s="6"/>
      <c r="U128" s="6"/>
    </row>
    <row r="129" spans="1:24" x14ac:dyDescent="0.25">
      <c r="A129" s="32">
        <v>46197</v>
      </c>
      <c r="B129" s="21">
        <f>MONTH(Tabla2[[#This Row],[Fecha]])</f>
        <v>6</v>
      </c>
      <c r="C129" s="22" t="s">
        <v>213</v>
      </c>
      <c r="D129" s="41" t="str">
        <f>IFERROR(_xlfn.XLOOKUP(Tabla2[[#This Row],[Artículo]],Tabla1[Artículos],Tabla1[Rubro]),"")</f>
        <v>Limpieza</v>
      </c>
      <c r="E129" s="33" t="s">
        <v>214</v>
      </c>
      <c r="F129" s="34">
        <v>9</v>
      </c>
      <c r="G129" s="33" t="s">
        <v>25</v>
      </c>
      <c r="H129" s="35">
        <v>4008.26</v>
      </c>
      <c r="I129" s="36">
        <f>Tabla2[[#This Row],[Precio Unitario ARS]]/Tabla2[[#This Row],[TC BNA]]</f>
        <v>2.6811103678929769</v>
      </c>
      <c r="J129" s="28">
        <v>0</v>
      </c>
      <c r="K129" s="33" t="s">
        <v>19</v>
      </c>
      <c r="L129" s="37">
        <v>0.21</v>
      </c>
      <c r="M129" s="38">
        <f>(Tabla2[[#This Row],[Precio Unitario ARS]]-(Tabla2[[#This Row],[Precio Unitario ARS]]*Tabla2[[#This Row],[DTO]]))*Tabla2[[#This Row],[Cantidad]]</f>
        <v>36074.340000000004</v>
      </c>
      <c r="N129" s="39">
        <f>Tabla2[[#This Row],[Subtotal ARS]]+(Tabla2[[#This Row],[Subtotal ARS]]*Tabla2[[#This Row],[IVA]])</f>
        <v>43649.951400000005</v>
      </c>
      <c r="O129" s="39">
        <f>Tabla2[[#This Row],[TOTAL ARS]]/Tabla2[[#This Row],[TC BNA]]</f>
        <v>29.197291906354518</v>
      </c>
      <c r="P129" s="40">
        <f>_xlfn.XLOOKUP(A129,'TC_BNA xlsx'!A:A,'TC_BNA xlsx'!C:C,"No encontrado")</f>
        <v>1495</v>
      </c>
      <c r="Q129" s="22"/>
      <c r="V129"/>
      <c r="W129"/>
    </row>
    <row r="130" spans="1:24" x14ac:dyDescent="0.25">
      <c r="A130" s="32">
        <v>46197</v>
      </c>
      <c r="B130" s="21">
        <f>MONTH(Tabla2[[#This Row],[Fecha]])</f>
        <v>6</v>
      </c>
      <c r="C130" s="22" t="s">
        <v>318</v>
      </c>
      <c r="D130" s="41" t="str">
        <f>IFERROR(_xlfn.XLOOKUP(Tabla2[[#This Row],[Artículo]],Tabla1[Artículos],Tabla1[Rubro]),"")</f>
        <v>Limpieza</v>
      </c>
      <c r="E130" s="33" t="s">
        <v>214</v>
      </c>
      <c r="F130" s="34">
        <v>3</v>
      </c>
      <c r="G130" s="33" t="s">
        <v>25</v>
      </c>
      <c r="H130" s="35">
        <v>32272.720000000001</v>
      </c>
      <c r="I130" s="36">
        <f>Tabla2[[#This Row],[Precio Unitario ARS]]/Tabla2[[#This Row],[TC BNA]]</f>
        <v>21.587103678929768</v>
      </c>
      <c r="J130" s="28">
        <v>0</v>
      </c>
      <c r="K130" s="33" t="s">
        <v>19</v>
      </c>
      <c r="L130" s="37">
        <v>0.21</v>
      </c>
      <c r="M130" s="38">
        <f>(Tabla2[[#This Row],[Precio Unitario ARS]]-(Tabla2[[#This Row],[Precio Unitario ARS]]*Tabla2[[#This Row],[DTO]]))*Tabla2[[#This Row],[Cantidad]]</f>
        <v>96818.16</v>
      </c>
      <c r="N130" s="39">
        <f>Tabla2[[#This Row],[Subtotal ARS]]+(Tabla2[[#This Row],[Subtotal ARS]]*Tabla2[[#This Row],[IVA]])</f>
        <v>117149.9736</v>
      </c>
      <c r="O130" s="39">
        <f>Tabla2[[#This Row],[TOTAL ARS]]/Tabla2[[#This Row],[TC BNA]]</f>
        <v>78.361186354515056</v>
      </c>
      <c r="P130" s="40">
        <f>_xlfn.XLOOKUP(A130,'TC_BNA xlsx'!A:A,'TC_BNA xlsx'!C:C,"No encontrado")</f>
        <v>1495</v>
      </c>
      <c r="Q130" s="22"/>
      <c r="R130" s="6"/>
      <c r="V130"/>
      <c r="W130"/>
    </row>
    <row r="131" spans="1:24" x14ac:dyDescent="0.25">
      <c r="A131" s="20">
        <v>46199</v>
      </c>
      <c r="B131" s="21">
        <f>MONTH(Tabla2[[#This Row],[Fecha]])</f>
        <v>6</v>
      </c>
      <c r="C131" s="22" t="s">
        <v>32</v>
      </c>
      <c r="D131" s="23" t="str">
        <f>IFERROR(_xlfn.XLOOKUP(Tabla2[[#This Row],[Artículo]],Tabla1[Artículos],Tabla1[Rubro]),"")</f>
        <v>Embalaje</v>
      </c>
      <c r="E131" s="43" t="s">
        <v>110</v>
      </c>
      <c r="F131" s="25">
        <v>1</v>
      </c>
      <c r="G131" s="24" t="s">
        <v>164</v>
      </c>
      <c r="H131" s="26">
        <v>14876.03</v>
      </c>
      <c r="I131" s="27">
        <f>Tabla2[[#This Row],[Precio Unitario ARS]]/Tabla2[[#This Row],[TC BNA]]</f>
        <v>9.9505217391304353</v>
      </c>
      <c r="J131" s="28">
        <v>0</v>
      </c>
      <c r="K131" s="24" t="s">
        <v>19</v>
      </c>
      <c r="L131" s="29">
        <v>0.21</v>
      </c>
      <c r="M131" s="30">
        <f>(Tabla2[[#This Row],[Precio Unitario ARS]]-(Tabla2[[#This Row],[Precio Unitario ARS]]*Tabla2[[#This Row],[DTO]]))*Tabla2[[#This Row],[Cantidad]]</f>
        <v>14876.03</v>
      </c>
      <c r="N131" s="31">
        <f>Tabla2[[#This Row],[Subtotal ARS]]+(Tabla2[[#This Row],[Subtotal ARS]]*Tabla2[[#This Row],[IVA]])</f>
        <v>17999.996299999999</v>
      </c>
      <c r="O131" s="31">
        <f>Tabla2[[#This Row],[TOTAL ARS]]/Tabla2[[#This Row],[TC BNA]]</f>
        <v>12.040131304347826</v>
      </c>
      <c r="P131" s="21">
        <f>_xlfn.XLOOKUP(A131,'TC_BNA xlsx'!A:A,'TC_BNA xlsx'!C:C,"No encontrado")</f>
        <v>1495</v>
      </c>
      <c r="Q131" s="23"/>
      <c r="R131" s="6"/>
    </row>
    <row r="132" spans="1:24" x14ac:dyDescent="0.25">
      <c r="A132" s="20">
        <v>46199</v>
      </c>
      <c r="B132" s="21">
        <f>MONTH(Tabla2[[#This Row],[Fecha]])</f>
        <v>6</v>
      </c>
      <c r="C132" s="22" t="s">
        <v>31</v>
      </c>
      <c r="D132" s="23" t="str">
        <f>IFERROR(_xlfn.XLOOKUP(Tabla2[[#This Row],[Artículo]],Tabla1[Artículos],Tabla1[Rubro]),"")</f>
        <v>Embalaje</v>
      </c>
      <c r="E132" s="43" t="s">
        <v>110</v>
      </c>
      <c r="F132" s="25">
        <v>4</v>
      </c>
      <c r="G132" s="24" t="s">
        <v>164</v>
      </c>
      <c r="H132" s="26">
        <v>14876.03</v>
      </c>
      <c r="I132" s="27">
        <f>Tabla2[[#This Row],[Precio Unitario ARS]]/Tabla2[[#This Row],[TC BNA]]</f>
        <v>9.9505217391304353</v>
      </c>
      <c r="J132" s="28">
        <v>0</v>
      </c>
      <c r="K132" s="24" t="s">
        <v>19</v>
      </c>
      <c r="L132" s="29">
        <v>0.21</v>
      </c>
      <c r="M132" s="30">
        <f>(Tabla2[[#This Row],[Precio Unitario ARS]]-(Tabla2[[#This Row],[Precio Unitario ARS]]*Tabla2[[#This Row],[DTO]]))*Tabla2[[#This Row],[Cantidad]]</f>
        <v>59504.12</v>
      </c>
      <c r="N132" s="31">
        <f>Tabla2[[#This Row],[Subtotal ARS]]+(Tabla2[[#This Row],[Subtotal ARS]]*Tabla2[[#This Row],[IVA]])</f>
        <v>71999.985199999996</v>
      </c>
      <c r="O132" s="31">
        <f>Tabla2[[#This Row],[TOTAL ARS]]/Tabla2[[#This Row],[TC BNA]]</f>
        <v>48.160525217391303</v>
      </c>
      <c r="P132" s="21">
        <f>_xlfn.XLOOKUP(A132,'TC_BNA xlsx'!A:A,'TC_BNA xlsx'!C:C,"No encontrado")</f>
        <v>1495</v>
      </c>
      <c r="Q132" s="23"/>
    </row>
    <row r="133" spans="1:24" x14ac:dyDescent="0.25">
      <c r="A133" s="20">
        <v>46199</v>
      </c>
      <c r="B133" s="21">
        <f>MONTH(Tabla2[[#This Row],[Fecha]])</f>
        <v>6</v>
      </c>
      <c r="C133" s="22" t="s">
        <v>35</v>
      </c>
      <c r="D133" s="23" t="str">
        <f>IFERROR(_xlfn.XLOOKUP(Tabla2[[#This Row],[Artículo]],Tabla1[Artículos],Tabla1[Rubro]),"")</f>
        <v>Embalaje</v>
      </c>
      <c r="E133" s="43" t="s">
        <v>110</v>
      </c>
      <c r="F133" s="25">
        <v>27</v>
      </c>
      <c r="G133" s="24" t="s">
        <v>164</v>
      </c>
      <c r="H133" s="26">
        <v>32231.4</v>
      </c>
      <c r="I133" s="27">
        <f>Tabla2[[#This Row],[Precio Unitario ARS]]/Tabla2[[#This Row],[TC BNA]]</f>
        <v>21.559464882943146</v>
      </c>
      <c r="J133" s="28">
        <v>0</v>
      </c>
      <c r="K133" s="24" t="s">
        <v>19</v>
      </c>
      <c r="L133" s="29">
        <v>0.21</v>
      </c>
      <c r="M133" s="30">
        <f>(Tabla2[[#This Row],[Precio Unitario ARS]]-(Tabla2[[#This Row],[Precio Unitario ARS]]*Tabla2[[#This Row],[DTO]]))*Tabla2[[#This Row],[Cantidad]]</f>
        <v>870247.8</v>
      </c>
      <c r="N133" s="31">
        <f>Tabla2[[#This Row],[Subtotal ARS]]+(Tabla2[[#This Row],[Subtotal ARS]]*Tabla2[[#This Row],[IVA]])</f>
        <v>1052999.838</v>
      </c>
      <c r="O133" s="31">
        <f>Tabla2[[#This Row],[TOTAL ARS]]/Tabla2[[#This Row],[TC BNA]]</f>
        <v>704.34771772575255</v>
      </c>
      <c r="P133" s="21">
        <f>_xlfn.XLOOKUP(A133,'TC_BNA xlsx'!A:A,'TC_BNA xlsx'!C:C,"No encontrado")</f>
        <v>1495</v>
      </c>
      <c r="Q133" s="23"/>
      <c r="R133" s="6"/>
      <c r="S133" s="6"/>
      <c r="T133" s="6"/>
      <c r="U133" s="6"/>
      <c r="V133" s="6"/>
      <c r="W133" s="6"/>
      <c r="X133" s="6"/>
    </row>
    <row r="134" spans="1:24" x14ac:dyDescent="0.25">
      <c r="A134" s="20">
        <v>46199</v>
      </c>
      <c r="B134" s="21">
        <f>MONTH(Tabla2[[#This Row],[Fecha]])</f>
        <v>6</v>
      </c>
      <c r="C134" s="22" t="s">
        <v>163</v>
      </c>
      <c r="D134" s="23" t="str">
        <f>IFERROR(_xlfn.XLOOKUP(Tabla2[[#This Row],[Artículo]],Tabla1[Artículos],Tabla1[Rubro]),"")</f>
        <v>Embalaje</v>
      </c>
      <c r="E134" s="43" t="s">
        <v>110</v>
      </c>
      <c r="F134" s="25">
        <v>2</v>
      </c>
      <c r="G134" s="24" t="s">
        <v>164</v>
      </c>
      <c r="H134" s="26">
        <v>41818.18</v>
      </c>
      <c r="I134" s="27">
        <f>Tabla2[[#This Row],[Precio Unitario ARS]]/Tabla2[[#This Row],[TC BNA]]</f>
        <v>27.972026755852841</v>
      </c>
      <c r="J134" s="28">
        <v>0</v>
      </c>
      <c r="K134" s="24" t="s">
        <v>19</v>
      </c>
      <c r="L134" s="29">
        <v>0.21</v>
      </c>
      <c r="M134" s="30">
        <f>(Tabla2[[#This Row],[Precio Unitario ARS]]-(Tabla2[[#This Row],[Precio Unitario ARS]]*Tabla2[[#This Row],[DTO]]))*Tabla2[[#This Row],[Cantidad]]</f>
        <v>83636.36</v>
      </c>
      <c r="N134" s="31">
        <f>Tabla2[[#This Row],[Subtotal ARS]]+(Tabla2[[#This Row],[Subtotal ARS]]*Tabla2[[#This Row],[IVA]])</f>
        <v>101199.99559999999</v>
      </c>
      <c r="O134" s="31">
        <f>Tabla2[[#This Row],[TOTAL ARS]]/Tabla2[[#This Row],[TC BNA]]</f>
        <v>67.692304749163881</v>
      </c>
      <c r="P134" s="21">
        <f>_xlfn.XLOOKUP(A134,'TC_BNA xlsx'!A:A,'TC_BNA xlsx'!C:C,"No encontrado")</f>
        <v>1495</v>
      </c>
      <c r="Q134" s="23"/>
    </row>
    <row r="135" spans="1:24" x14ac:dyDescent="0.25">
      <c r="A135" s="20">
        <v>46199</v>
      </c>
      <c r="B135" s="21">
        <f>MONTH(Tabla2[[#This Row],[Fecha]])</f>
        <v>6</v>
      </c>
      <c r="C135" s="22" t="s">
        <v>33</v>
      </c>
      <c r="D135" s="23" t="str">
        <f>IFERROR(_xlfn.XLOOKUP(Tabla2[[#This Row],[Artículo]],Tabla1[Artículos],Tabla1[Rubro]),"")</f>
        <v>Embalaje</v>
      </c>
      <c r="E135" s="43" t="s">
        <v>110</v>
      </c>
      <c r="F135" s="25">
        <v>5</v>
      </c>
      <c r="G135" s="24" t="s">
        <v>164</v>
      </c>
      <c r="H135" s="26">
        <v>11570.25</v>
      </c>
      <c r="I135" s="27">
        <f>Tabla2[[#This Row],[Precio Unitario ARS]]/Tabla2[[#This Row],[TC BNA]]</f>
        <v>7.7392976588628759</v>
      </c>
      <c r="J135" s="28">
        <v>0</v>
      </c>
      <c r="K135" s="24" t="s">
        <v>19</v>
      </c>
      <c r="L135" s="29">
        <v>0.21</v>
      </c>
      <c r="M135" s="30">
        <f>(Tabla2[[#This Row],[Precio Unitario ARS]]-(Tabla2[[#This Row],[Precio Unitario ARS]]*Tabla2[[#This Row],[DTO]]))*Tabla2[[#This Row],[Cantidad]]</f>
        <v>57851.25</v>
      </c>
      <c r="N135" s="31">
        <f>Tabla2[[#This Row],[Subtotal ARS]]+(Tabla2[[#This Row],[Subtotal ARS]]*Tabla2[[#This Row],[IVA]])</f>
        <v>70000.012499999997</v>
      </c>
      <c r="O135" s="31">
        <f>Tabla2[[#This Row],[TOTAL ARS]]/Tabla2[[#This Row],[TC BNA]]</f>
        <v>46.822750836120399</v>
      </c>
      <c r="P135" s="21">
        <f>_xlfn.XLOOKUP(A135,'TC_BNA xlsx'!A:A,'TC_BNA xlsx'!C:C,"No encontrado")</f>
        <v>1495</v>
      </c>
      <c r="Q135" s="23"/>
    </row>
    <row r="136" spans="1:24" x14ac:dyDescent="0.25">
      <c r="A136" s="20">
        <v>46202</v>
      </c>
      <c r="B136" s="21">
        <f>MONTH(Tabla2[[#This Row],[Fecha]])</f>
        <v>6</v>
      </c>
      <c r="C136" s="22" t="s">
        <v>97</v>
      </c>
      <c r="D136" s="23" t="str">
        <f>IFERROR(_xlfn.XLOOKUP(Tabla2[[#This Row],[Artículo]],Tabla1[Artículos],Tabla1[Rubro]),"")</f>
        <v>Embalaje</v>
      </c>
      <c r="E136" s="24" t="s">
        <v>125</v>
      </c>
      <c r="F136" s="25">
        <v>103</v>
      </c>
      <c r="G136" s="24" t="s">
        <v>150</v>
      </c>
      <c r="H136" s="26">
        <v>3617.9</v>
      </c>
      <c r="I136" s="27">
        <f>Tabla2[[#This Row],[Precio Unitario ARS]]/Tabla2[[#This Row],[TC BNA]]</f>
        <v>2.42</v>
      </c>
      <c r="J136" s="28">
        <v>0</v>
      </c>
      <c r="K136" s="24" t="s">
        <v>19</v>
      </c>
      <c r="L136" s="29">
        <v>0.21</v>
      </c>
      <c r="M136" s="30">
        <f>(Tabla2[[#This Row],[Precio Unitario ARS]]-(Tabla2[[#This Row],[Precio Unitario ARS]]*Tabla2[[#This Row],[DTO]]))*Tabla2[[#This Row],[Cantidad]]</f>
        <v>372643.7</v>
      </c>
      <c r="N136" s="31">
        <f>Tabla2[[#This Row],[Subtotal ARS]]+(Tabla2[[#This Row],[Subtotal ARS]]*Tabla2[[#This Row],[IVA]])</f>
        <v>450898.87699999998</v>
      </c>
      <c r="O136" s="31">
        <f>Tabla2[[#This Row],[TOTAL ARS]]/Tabla2[[#This Row],[TC BNA]]</f>
        <v>301.6046</v>
      </c>
      <c r="P136" s="21">
        <f>_xlfn.XLOOKUP(A136,'TC_BNA xlsx'!A:A,'TC_BNA xlsx'!C:C,"No encontrado")</f>
        <v>1495</v>
      </c>
      <c r="Q136" s="23"/>
      <c r="R136" s="6"/>
      <c r="S136" s="6"/>
    </row>
    <row r="137" spans="1:24" x14ac:dyDescent="0.25">
      <c r="A137" s="32">
        <v>46202</v>
      </c>
      <c r="B137" s="21">
        <f>MONTH(Tabla2[[#This Row],[Fecha]])</f>
        <v>6</v>
      </c>
      <c r="C137" s="22" t="s">
        <v>94</v>
      </c>
      <c r="D137" s="41" t="str">
        <f>IFERROR(_xlfn.XLOOKUP(Tabla2[[#This Row],[Artículo]],Tabla1[Artículos],Tabla1[Rubro]),"")</f>
        <v>Soldadura</v>
      </c>
      <c r="E137" s="33" t="s">
        <v>121</v>
      </c>
      <c r="F137" s="34">
        <v>20</v>
      </c>
      <c r="G137" s="33" t="s">
        <v>156</v>
      </c>
      <c r="H137" s="35">
        <v>18500</v>
      </c>
      <c r="I137" s="36">
        <f>Tabla2[[#This Row],[Precio Unitario ARS]]/Tabla2[[#This Row],[TC BNA]]</f>
        <v>12.374581939799331</v>
      </c>
      <c r="J137" s="28">
        <v>0</v>
      </c>
      <c r="K137" s="33" t="s">
        <v>19</v>
      </c>
      <c r="L137" s="37">
        <v>0.21</v>
      </c>
      <c r="M137" s="38">
        <f>(Tabla2[[#This Row],[Precio Unitario ARS]]-(Tabla2[[#This Row],[Precio Unitario ARS]]*Tabla2[[#This Row],[DTO]]))*Tabla2[[#This Row],[Cantidad]]</f>
        <v>370000</v>
      </c>
      <c r="N137" s="39">
        <f>Tabla2[[#This Row],[Subtotal ARS]]+(Tabla2[[#This Row],[Subtotal ARS]]*Tabla2[[#This Row],[IVA]])</f>
        <v>447700</v>
      </c>
      <c r="O137" s="39">
        <f>Tabla2[[#This Row],[TOTAL ARS]]/Tabla2[[#This Row],[TC BNA]]</f>
        <v>299.46488294314383</v>
      </c>
      <c r="P137" s="40">
        <f>_xlfn.XLOOKUP(A137,'TC_BNA xlsx'!A:A,'TC_BNA xlsx'!C:C,"No encontrado")</f>
        <v>1495</v>
      </c>
      <c r="Q137" s="22"/>
      <c r="R137" s="6"/>
      <c r="S137" s="6"/>
    </row>
    <row r="138" spans="1:24" x14ac:dyDescent="0.25">
      <c r="A138" s="32">
        <v>46202</v>
      </c>
      <c r="B138" s="21">
        <f>MONTH(Tabla2[[#This Row],[Fecha]])</f>
        <v>6</v>
      </c>
      <c r="C138" s="22" t="s">
        <v>81</v>
      </c>
      <c r="D138" s="41" t="str">
        <f>IFERROR(_xlfn.XLOOKUP(Tabla2[[#This Row],[Artículo]],Tabla1[Artículos],Tabla1[Rubro]),"")</f>
        <v>Soldadura</v>
      </c>
      <c r="E138" s="33" t="s">
        <v>121</v>
      </c>
      <c r="F138" s="34">
        <v>2</v>
      </c>
      <c r="G138" s="24" t="s">
        <v>164</v>
      </c>
      <c r="H138" s="35">
        <v>80000</v>
      </c>
      <c r="I138" s="36">
        <f>Tabla2[[#This Row],[Precio Unitario ARS]]/Tabla2[[#This Row],[TC BNA]]</f>
        <v>53.511705685618729</v>
      </c>
      <c r="J138" s="28">
        <v>0</v>
      </c>
      <c r="K138" s="33" t="s">
        <v>19</v>
      </c>
      <c r="L138" s="37">
        <v>0.21</v>
      </c>
      <c r="M138" s="38">
        <f>(Tabla2[[#This Row],[Precio Unitario ARS]]-(Tabla2[[#This Row],[Precio Unitario ARS]]*Tabla2[[#This Row],[DTO]]))*Tabla2[[#This Row],[Cantidad]]</f>
        <v>160000</v>
      </c>
      <c r="N138" s="39">
        <f>Tabla2[[#This Row],[Subtotal ARS]]+(Tabla2[[#This Row],[Subtotal ARS]]*Tabla2[[#This Row],[IVA]])</f>
        <v>193600</v>
      </c>
      <c r="O138" s="39">
        <f>Tabla2[[#This Row],[TOTAL ARS]]/Tabla2[[#This Row],[TC BNA]]</f>
        <v>129.49832775919734</v>
      </c>
      <c r="P138" s="40">
        <f>_xlfn.XLOOKUP(A138,'TC_BNA xlsx'!A:A,'TC_BNA xlsx'!C:C,"No encontrado")</f>
        <v>1495</v>
      </c>
      <c r="Q138" s="22"/>
      <c r="R138" s="6"/>
      <c r="S138" s="6"/>
    </row>
    <row r="139" spans="1:24" x14ac:dyDescent="0.25">
      <c r="A139" s="32">
        <v>46202</v>
      </c>
      <c r="B139" s="21">
        <f>MONTH(Tabla2[[#This Row],[Fecha]])</f>
        <v>6</v>
      </c>
      <c r="C139" s="22" t="s">
        <v>316</v>
      </c>
      <c r="D139" s="41" t="str">
        <f>IFERROR(_xlfn.XLOOKUP(Tabla2[[#This Row],[Artículo]],Tabla1[Artículos],Tabla1[Rubro]),"")</f>
        <v>Librería</v>
      </c>
      <c r="E139" s="33" t="s">
        <v>268</v>
      </c>
      <c r="F139" s="34">
        <v>20</v>
      </c>
      <c r="G139" s="33" t="s">
        <v>25</v>
      </c>
      <c r="H139" s="35">
        <v>1029.3800000000001</v>
      </c>
      <c r="I139" s="36">
        <f>Tabla2[[#This Row],[Precio Unitario ARS]]/Tabla2[[#This Row],[TC BNA]]</f>
        <v>0.68854849498327764</v>
      </c>
      <c r="J139" s="28">
        <v>0</v>
      </c>
      <c r="K139" s="33" t="s">
        <v>19</v>
      </c>
      <c r="L139" s="37">
        <v>0.21</v>
      </c>
      <c r="M139" s="38">
        <f>(Tabla2[[#This Row],[Precio Unitario ARS]]-(Tabla2[[#This Row],[Precio Unitario ARS]]*Tabla2[[#This Row],[DTO]]))*Tabla2[[#This Row],[Cantidad]]</f>
        <v>20587.600000000002</v>
      </c>
      <c r="N139" s="39">
        <f>Tabla2[[#This Row],[Subtotal ARS]]+(Tabla2[[#This Row],[Subtotal ARS]]*Tabla2[[#This Row],[IVA]])</f>
        <v>24910.996000000003</v>
      </c>
      <c r="O139" s="39">
        <f>Tabla2[[#This Row],[TOTAL ARS]]/Tabla2[[#This Row],[TC BNA]]</f>
        <v>16.66287357859532</v>
      </c>
      <c r="P139" s="40">
        <f>_xlfn.XLOOKUP(A139,'TC_BNA xlsx'!A:A,'TC_BNA xlsx'!C:C,"No encontrado")</f>
        <v>1495</v>
      </c>
      <c r="Q139" s="22"/>
    </row>
    <row r="140" spans="1:24" x14ac:dyDescent="0.25">
      <c r="A140" s="32">
        <v>46202</v>
      </c>
      <c r="B140" s="21">
        <f>MONTH(Tabla2[[#This Row],[Fecha]])</f>
        <v>6</v>
      </c>
      <c r="C140" s="22" t="s">
        <v>315</v>
      </c>
      <c r="D140" s="41" t="str">
        <f>IFERROR(_xlfn.XLOOKUP(Tabla2[[#This Row],[Artículo]],Tabla1[Artículos],Tabla1[Rubro]),"")</f>
        <v>Librería</v>
      </c>
      <c r="E140" s="33" t="s">
        <v>268</v>
      </c>
      <c r="F140" s="34">
        <v>20</v>
      </c>
      <c r="G140" s="33" t="s">
        <v>25</v>
      </c>
      <c r="H140" s="35">
        <v>1029.3800000000001</v>
      </c>
      <c r="I140" s="36">
        <f>Tabla2[[#This Row],[Precio Unitario ARS]]/Tabla2[[#This Row],[TC BNA]]</f>
        <v>0.68854849498327764</v>
      </c>
      <c r="J140" s="28">
        <v>0</v>
      </c>
      <c r="K140" s="33" t="s">
        <v>19</v>
      </c>
      <c r="L140" s="37">
        <v>0.21</v>
      </c>
      <c r="M140" s="38">
        <f>(Tabla2[[#This Row],[Precio Unitario ARS]]-(Tabla2[[#This Row],[Precio Unitario ARS]]*Tabla2[[#This Row],[DTO]]))*Tabla2[[#This Row],[Cantidad]]</f>
        <v>20587.600000000002</v>
      </c>
      <c r="N140" s="39">
        <f>Tabla2[[#This Row],[Subtotal ARS]]+(Tabla2[[#This Row],[Subtotal ARS]]*Tabla2[[#This Row],[IVA]])</f>
        <v>24910.996000000003</v>
      </c>
      <c r="O140" s="39">
        <f>Tabla2[[#This Row],[TOTAL ARS]]/Tabla2[[#This Row],[TC BNA]]</f>
        <v>16.66287357859532</v>
      </c>
      <c r="P140" s="40">
        <f>_xlfn.XLOOKUP(A140,'TC_BNA xlsx'!A:A,'TC_BNA xlsx'!C:C,"No encontrado")</f>
        <v>1495</v>
      </c>
      <c r="Q140" s="22"/>
    </row>
    <row r="141" spans="1:24" x14ac:dyDescent="0.25">
      <c r="A141" s="32">
        <v>46202</v>
      </c>
      <c r="B141" s="21">
        <f>MONTH(Tabla2[[#This Row],[Fecha]])</f>
        <v>6</v>
      </c>
      <c r="C141" s="22" t="s">
        <v>317</v>
      </c>
      <c r="D141" s="41" t="str">
        <f>IFERROR(_xlfn.XLOOKUP(Tabla2[[#This Row],[Artículo]],Tabla1[Artículos],Tabla1[Rubro]),"")</f>
        <v>Librería</v>
      </c>
      <c r="E141" s="33" t="s">
        <v>268</v>
      </c>
      <c r="F141" s="34">
        <v>2</v>
      </c>
      <c r="G141" s="33" t="s">
        <v>25</v>
      </c>
      <c r="H141" s="35">
        <v>998.28</v>
      </c>
      <c r="I141" s="36">
        <f>Tabla2[[#This Row],[Precio Unitario ARS]]/Tabla2[[#This Row],[TC BNA]]</f>
        <v>0.66774581939799327</v>
      </c>
      <c r="J141" s="28">
        <v>0</v>
      </c>
      <c r="K141" s="33" t="s">
        <v>19</v>
      </c>
      <c r="L141" s="37">
        <v>0.21</v>
      </c>
      <c r="M141" s="38">
        <f>(Tabla2[[#This Row],[Precio Unitario ARS]]-(Tabla2[[#This Row],[Precio Unitario ARS]]*Tabla2[[#This Row],[DTO]]))*Tabla2[[#This Row],[Cantidad]]</f>
        <v>1996.56</v>
      </c>
      <c r="N141" s="39">
        <f>Tabla2[[#This Row],[Subtotal ARS]]+(Tabla2[[#This Row],[Subtotal ARS]]*Tabla2[[#This Row],[IVA]])</f>
        <v>2415.8375999999998</v>
      </c>
      <c r="O141" s="39">
        <f>Tabla2[[#This Row],[TOTAL ARS]]/Tabla2[[#This Row],[TC BNA]]</f>
        <v>1.6159448829431438</v>
      </c>
      <c r="P141" s="40">
        <f>_xlfn.XLOOKUP(A141,'TC_BNA xlsx'!A:A,'TC_BNA xlsx'!C:C,"No encontrado")</f>
        <v>1495</v>
      </c>
      <c r="Q141" s="22"/>
    </row>
    <row r="142" spans="1:24" x14ac:dyDescent="0.25">
      <c r="A142" s="20">
        <v>46203</v>
      </c>
      <c r="B142" s="21">
        <f>MONTH(Tabla2[[#This Row],[Fecha]])</f>
        <v>6</v>
      </c>
      <c r="C142" s="22" t="s">
        <v>105</v>
      </c>
      <c r="D142" s="23" t="str">
        <f>IFERROR(_xlfn.XLOOKUP(Tabla2[[#This Row],[Artículo]],Tabla1[Artículos],Tabla1[Rubro]),"")</f>
        <v>Embalaje</v>
      </c>
      <c r="E142" s="24" t="s">
        <v>24</v>
      </c>
      <c r="F142" s="25">
        <v>300</v>
      </c>
      <c r="G142" s="24" t="s">
        <v>25</v>
      </c>
      <c r="H142" s="26">
        <v>1151.787521</v>
      </c>
      <c r="I142" s="27">
        <f>Tabla2[[#This Row],[Precio Unitario ARS]]/Tabla2[[#This Row],[TC BNA]]</f>
        <v>0.76785834733333336</v>
      </c>
      <c r="J142" s="28">
        <v>0.1</v>
      </c>
      <c r="K142" s="24" t="s">
        <v>19</v>
      </c>
      <c r="L142" s="29">
        <v>0.21</v>
      </c>
      <c r="M142" s="30">
        <f>(Tabla2[[#This Row],[Precio Unitario ARS]]-(Tabla2[[#This Row],[Precio Unitario ARS]]*Tabla2[[#This Row],[DTO]]))*Tabla2[[#This Row],[Cantidad]]</f>
        <v>310982.63067000004</v>
      </c>
      <c r="N142" s="26">
        <f>Tabla2[[#This Row],[Subtotal ARS]]+(Tabla2[[#This Row],[Subtotal ARS]]*Tabla2[[#This Row],[IVA]])</f>
        <v>376288.98311070004</v>
      </c>
      <c r="O142" s="26">
        <f>Tabla2[[#This Row],[TOTAL ARS]]/Tabla2[[#This Row],[TC BNA]]</f>
        <v>250.85932207380003</v>
      </c>
      <c r="P142" s="24">
        <f>_xlfn.XLOOKUP(A142,'TC_BNA xlsx'!A:A,'TC_BNA xlsx'!C:C,"No encontrado")</f>
        <v>1500</v>
      </c>
      <c r="Q142" s="23"/>
    </row>
    <row r="143" spans="1:24" x14ac:dyDescent="0.25">
      <c r="A143" s="20">
        <v>46203</v>
      </c>
      <c r="B143" s="21">
        <f>MONTH(Tabla2[[#This Row],[Fecha]])</f>
        <v>6</v>
      </c>
      <c r="C143" s="22" t="s">
        <v>106</v>
      </c>
      <c r="D143" s="23" t="str">
        <f>IFERROR(_xlfn.XLOOKUP(Tabla2[[#This Row],[Artículo]],Tabla1[Artículos],Tabla1[Rubro]),"")</f>
        <v>Embalaje</v>
      </c>
      <c r="E143" s="24" t="s">
        <v>24</v>
      </c>
      <c r="F143" s="25">
        <v>300</v>
      </c>
      <c r="G143" s="24" t="s">
        <v>25</v>
      </c>
      <c r="H143" s="26">
        <v>814.51900799999999</v>
      </c>
      <c r="I143" s="27">
        <f>Tabla2[[#This Row],[Precio Unitario ARS]]/Tabla2[[#This Row],[TC BNA]]</f>
        <v>0.54301267200000003</v>
      </c>
      <c r="J143" s="28">
        <v>0.1</v>
      </c>
      <c r="K143" s="24" t="s">
        <v>19</v>
      </c>
      <c r="L143" s="29">
        <v>0.21</v>
      </c>
      <c r="M143" s="30">
        <f>(Tabla2[[#This Row],[Precio Unitario ARS]]-(Tabla2[[#This Row],[Precio Unitario ARS]]*Tabla2[[#This Row],[DTO]]))*Tabla2[[#This Row],[Cantidad]]</f>
        <v>219920.13216000001</v>
      </c>
      <c r="N143" s="26">
        <f>Tabla2[[#This Row],[Subtotal ARS]]+(Tabla2[[#This Row],[Subtotal ARS]]*Tabla2[[#This Row],[IVA]])</f>
        <v>266103.35991360003</v>
      </c>
      <c r="O143" s="26">
        <f>Tabla2[[#This Row],[TOTAL ARS]]/Tabla2[[#This Row],[TC BNA]]</f>
        <v>177.40223994240003</v>
      </c>
      <c r="P143" s="24">
        <f>_xlfn.XLOOKUP(A143,'TC_BNA xlsx'!A:A,'TC_BNA xlsx'!C:C,"No encontrado")</f>
        <v>1500</v>
      </c>
      <c r="Q143" s="23"/>
    </row>
    <row r="144" spans="1:24" x14ac:dyDescent="0.25">
      <c r="A144" s="20">
        <v>46203</v>
      </c>
      <c r="B144" s="21">
        <f>MONTH(Tabla2[[#This Row],[Fecha]])</f>
        <v>6</v>
      </c>
      <c r="C144" s="22" t="s">
        <v>136</v>
      </c>
      <c r="D144" s="23" t="str">
        <f>IFERROR(_xlfn.XLOOKUP(Tabla2[[#This Row],[Artículo]],Tabla1[Artículos],Tabla1[Rubro]),"")</f>
        <v>Embalaje</v>
      </c>
      <c r="E144" s="24" t="s">
        <v>135</v>
      </c>
      <c r="F144" s="25">
        <v>10</v>
      </c>
      <c r="G144" s="24" t="s">
        <v>25</v>
      </c>
      <c r="H144" s="26">
        <v>16000</v>
      </c>
      <c r="I144" s="27">
        <f>Tabla2[[#This Row],[Precio Unitario ARS]]/Tabla2[[#This Row],[TC BNA]]</f>
        <v>10.666666666666666</v>
      </c>
      <c r="J144" s="28">
        <v>0</v>
      </c>
      <c r="K144" s="24" t="s">
        <v>19</v>
      </c>
      <c r="L144" s="29">
        <v>0.21</v>
      </c>
      <c r="M144" s="30">
        <f>(Tabla2[[#This Row],[Precio Unitario ARS]]-(Tabla2[[#This Row],[Precio Unitario ARS]]*Tabla2[[#This Row],[DTO]]))*Tabla2[[#This Row],[Cantidad]]</f>
        <v>160000</v>
      </c>
      <c r="N144" s="26">
        <f>Tabla2[[#This Row],[Subtotal ARS]]+(Tabla2[[#This Row],[Subtotal ARS]]*Tabla2[[#This Row],[IVA]])</f>
        <v>193600</v>
      </c>
      <c r="O144" s="26">
        <f>Tabla2[[#This Row],[TOTAL ARS]]/Tabla2[[#This Row],[TC BNA]]</f>
        <v>129.06666666666666</v>
      </c>
      <c r="P144" s="24">
        <f>_xlfn.XLOOKUP(A144,'TC_BNA xlsx'!A:A,'TC_BNA xlsx'!C:C,"No encontrado")</f>
        <v>1500</v>
      </c>
      <c r="Q144" s="23"/>
    </row>
    <row r="145" spans="1:24" x14ac:dyDescent="0.25">
      <c r="A145" s="20">
        <v>46203</v>
      </c>
      <c r="B145" s="21">
        <f>MONTH(Tabla2[[#This Row],[Fecha]])</f>
        <v>6</v>
      </c>
      <c r="C145" s="22" t="s">
        <v>138</v>
      </c>
      <c r="D145" s="23" t="str">
        <f>IFERROR(_xlfn.XLOOKUP(Tabla2[[#This Row],[Artículo]],Tabla1[Artículos],Tabla1[Rubro]),"")</f>
        <v>Embalaje</v>
      </c>
      <c r="E145" s="24" t="s">
        <v>135</v>
      </c>
      <c r="F145" s="25">
        <v>10</v>
      </c>
      <c r="G145" s="24" t="s">
        <v>25</v>
      </c>
      <c r="H145" s="26">
        <v>9148</v>
      </c>
      <c r="I145" s="27">
        <f>Tabla2[[#This Row],[Precio Unitario ARS]]/Tabla2[[#This Row],[TC BNA]]</f>
        <v>6.0986666666666665</v>
      </c>
      <c r="J145" s="28">
        <v>0</v>
      </c>
      <c r="K145" s="24" t="s">
        <v>19</v>
      </c>
      <c r="L145" s="29">
        <v>0.21</v>
      </c>
      <c r="M145" s="30">
        <f>(Tabla2[[#This Row],[Precio Unitario ARS]]-(Tabla2[[#This Row],[Precio Unitario ARS]]*Tabla2[[#This Row],[DTO]]))*Tabla2[[#This Row],[Cantidad]]</f>
        <v>91480</v>
      </c>
      <c r="N145" s="26">
        <f>Tabla2[[#This Row],[Subtotal ARS]]+(Tabla2[[#This Row],[Subtotal ARS]]*Tabla2[[#This Row],[IVA]])</f>
        <v>110690.8</v>
      </c>
      <c r="O145" s="26">
        <f>Tabla2[[#This Row],[TOTAL ARS]]/Tabla2[[#This Row],[TC BNA]]</f>
        <v>73.793866666666673</v>
      </c>
      <c r="P145" s="24">
        <f>_xlfn.XLOOKUP(A145,'TC_BNA xlsx'!A:A,'TC_BNA xlsx'!C:C,"No encontrado")</f>
        <v>1500</v>
      </c>
      <c r="Q145" s="23"/>
      <c r="R145" s="6"/>
      <c r="S145" s="6"/>
      <c r="T145" s="6"/>
      <c r="U145" s="6"/>
      <c r="V145" s="6"/>
      <c r="W145" s="6"/>
      <c r="X145" s="6"/>
    </row>
    <row r="146" spans="1:24" x14ac:dyDescent="0.25">
      <c r="A146" s="20">
        <v>46203</v>
      </c>
      <c r="B146" s="21">
        <f>MONTH(Tabla2[[#This Row],[Fecha]])</f>
        <v>6</v>
      </c>
      <c r="C146" s="22" t="s">
        <v>59</v>
      </c>
      <c r="D146" s="23" t="str">
        <f>IFERROR(_xlfn.XLOOKUP(Tabla2[[#This Row],[Artículo]],Tabla1[Artículos],Tabla1[Rubro]),"")</f>
        <v>Lubricantes</v>
      </c>
      <c r="E146" s="24" t="s">
        <v>116</v>
      </c>
      <c r="F146" s="25">
        <v>2</v>
      </c>
      <c r="G146" s="24" t="s">
        <v>161</v>
      </c>
      <c r="H146" s="26">
        <v>46620</v>
      </c>
      <c r="I146" s="27">
        <f>Tabla2[[#This Row],[Precio Unitario ARS]]/Tabla2[[#This Row],[TC BNA]]</f>
        <v>31.08</v>
      </c>
      <c r="J146" s="28">
        <v>0</v>
      </c>
      <c r="K146" s="24" t="s">
        <v>19</v>
      </c>
      <c r="L146" s="29">
        <v>0.21</v>
      </c>
      <c r="M146" s="30">
        <f>(Tabla2[[#This Row],[Precio Unitario ARS]]-(Tabla2[[#This Row],[Precio Unitario ARS]]*Tabla2[[#This Row],[DTO]]))*Tabla2[[#This Row],[Cantidad]]</f>
        <v>93240</v>
      </c>
      <c r="N146" s="31">
        <f>Tabla2[[#This Row],[Subtotal ARS]]+(Tabla2[[#This Row],[Subtotal ARS]]*Tabla2[[#This Row],[IVA]])</f>
        <v>112820.4</v>
      </c>
      <c r="O146" s="31">
        <f>Tabla2[[#This Row],[TOTAL ARS]]/Tabla2[[#This Row],[TC BNA]]</f>
        <v>75.2136</v>
      </c>
      <c r="P146" s="21">
        <f>_xlfn.XLOOKUP(A146,'TC_BNA xlsx'!A:A,'TC_BNA xlsx'!C:C,"No encontrado")</f>
        <v>1500</v>
      </c>
      <c r="Q146" s="23" t="s">
        <v>162</v>
      </c>
      <c r="R146" s="6"/>
      <c r="S146" s="6"/>
      <c r="T146" s="6"/>
      <c r="U146" s="6"/>
      <c r="V146" s="6"/>
      <c r="W146" s="6"/>
      <c r="X146" s="6"/>
    </row>
    <row r="147" spans="1:24" x14ac:dyDescent="0.25">
      <c r="A147" s="32">
        <v>46203</v>
      </c>
      <c r="B147" s="21">
        <f>MONTH(Tabla2[[#This Row],[Fecha]])</f>
        <v>6</v>
      </c>
      <c r="C147" s="22" t="s">
        <v>106</v>
      </c>
      <c r="D147" s="41" t="str">
        <f>IFERROR(_xlfn.XLOOKUP(Tabla2[[#This Row],[Artículo]],Tabla1[Artículos],Tabla1[Rubro]),"")</f>
        <v>Embalaje</v>
      </c>
      <c r="E147" s="33" t="s">
        <v>24</v>
      </c>
      <c r="F147" s="34">
        <v>100</v>
      </c>
      <c r="G147" s="33" t="s">
        <v>25</v>
      </c>
      <c r="H147" s="35">
        <v>814.51900799999999</v>
      </c>
      <c r="I147" s="36">
        <f>Tabla2[[#This Row],[Precio Unitario ARS]]/Tabla2[[#This Row],[TC BNA]]</f>
        <v>0.54301267200000003</v>
      </c>
      <c r="J147" s="28">
        <v>0.1</v>
      </c>
      <c r="K147" s="33" t="s">
        <v>19</v>
      </c>
      <c r="L147" s="37">
        <v>0.21</v>
      </c>
      <c r="M147" s="38">
        <f>(Tabla2[[#This Row],[Precio Unitario ARS]]-(Tabla2[[#This Row],[Precio Unitario ARS]]*Tabla2[[#This Row],[DTO]]))*Tabla2[[#This Row],[Cantidad]]</f>
        <v>73306.710720000003</v>
      </c>
      <c r="N147" s="39">
        <f>Tabla2[[#This Row],[Subtotal ARS]]+(Tabla2[[#This Row],[Subtotal ARS]]*Tabla2[[#This Row],[IVA]])</f>
        <v>88701.119971200009</v>
      </c>
      <c r="O147" s="39">
        <f>Tabla2[[#This Row],[TOTAL ARS]]/Tabla2[[#This Row],[TC BNA]]</f>
        <v>59.134079980800003</v>
      </c>
      <c r="P147" s="40">
        <f>_xlfn.XLOOKUP(A147,'TC_BNA xlsx'!A:A,'TC_BNA xlsx'!C:C,"No encontrado")</f>
        <v>1500</v>
      </c>
      <c r="Q147" s="22"/>
    </row>
    <row r="148" spans="1:24" x14ac:dyDescent="0.25">
      <c r="A148" s="32">
        <v>46203</v>
      </c>
      <c r="B148" s="21">
        <f>MONTH(Tabla2[[#This Row],[Fecha]])</f>
        <v>6</v>
      </c>
      <c r="C148" s="22" t="s">
        <v>107</v>
      </c>
      <c r="D148" s="41" t="str">
        <f>IFERROR(_xlfn.XLOOKUP(Tabla2[[#This Row],[Artículo]],Tabla1[Artículos],Tabla1[Rubro]),"")</f>
        <v>Embalaje</v>
      </c>
      <c r="E148" s="33" t="s">
        <v>24</v>
      </c>
      <c r="F148" s="34">
        <v>40</v>
      </c>
      <c r="G148" s="33" t="s">
        <v>25</v>
      </c>
      <c r="H148" s="35">
        <v>3818.057851</v>
      </c>
      <c r="I148" s="36">
        <f>Tabla2[[#This Row],[Precio Unitario ARS]]/Tabla2[[#This Row],[TC BNA]]</f>
        <v>2.5453719006666669</v>
      </c>
      <c r="J148" s="28">
        <v>0.1</v>
      </c>
      <c r="K148" s="33" t="s">
        <v>19</v>
      </c>
      <c r="L148" s="37">
        <v>0.21</v>
      </c>
      <c r="M148" s="38">
        <f>(Tabla2[[#This Row],[Precio Unitario ARS]]-(Tabla2[[#This Row],[Precio Unitario ARS]]*Tabla2[[#This Row],[DTO]]))*Tabla2[[#This Row],[Cantidad]]</f>
        <v>137450.08263600001</v>
      </c>
      <c r="N148" s="39">
        <f>Tabla2[[#This Row],[Subtotal ARS]]+(Tabla2[[#This Row],[Subtotal ARS]]*Tabla2[[#This Row],[IVA]])</f>
        <v>166314.59998956</v>
      </c>
      <c r="O148" s="39">
        <f>Tabla2[[#This Row],[TOTAL ARS]]/Tabla2[[#This Row],[TC BNA]]</f>
        <v>110.87639999304</v>
      </c>
      <c r="P148" s="40">
        <f>_xlfn.XLOOKUP(A148,'TC_BNA xlsx'!A:A,'TC_BNA xlsx'!C:C,"No encontrado")</f>
        <v>1500</v>
      </c>
      <c r="Q148" s="22"/>
    </row>
    <row r="149" spans="1:24" x14ac:dyDescent="0.25">
      <c r="A149" s="32">
        <v>46203</v>
      </c>
      <c r="B149" s="21">
        <f>MONTH(Tabla2[[#This Row],[Fecha]])</f>
        <v>6</v>
      </c>
      <c r="C149" s="22" t="s">
        <v>319</v>
      </c>
      <c r="D149" s="41" t="str">
        <f>IFERROR(_xlfn.XLOOKUP(Tabla2[[#This Row],[Artículo]],Tabla1[Artículos],Tabla1[Rubro]),"")</f>
        <v>Embalaje</v>
      </c>
      <c r="E149" s="33" t="s">
        <v>24</v>
      </c>
      <c r="F149" s="34">
        <v>5</v>
      </c>
      <c r="G149" s="33" t="s">
        <v>150</v>
      </c>
      <c r="H149" s="35">
        <v>5488.3719010000004</v>
      </c>
      <c r="I149" s="36">
        <f>Tabla2[[#This Row],[Precio Unitario ARS]]/Tabla2[[#This Row],[TC BNA]]</f>
        <v>3.6589146006666668</v>
      </c>
      <c r="J149" s="28">
        <v>0.1</v>
      </c>
      <c r="K149" s="33" t="s">
        <v>19</v>
      </c>
      <c r="L149" s="37">
        <v>0.21</v>
      </c>
      <c r="M149" s="38">
        <f>(Tabla2[[#This Row],[Precio Unitario ARS]]-(Tabla2[[#This Row],[Precio Unitario ARS]]*Tabla2[[#This Row],[DTO]]))*Tabla2[[#This Row],[Cantidad]]</f>
        <v>24697.673554500001</v>
      </c>
      <c r="N149" s="39">
        <f>Tabla2[[#This Row],[Subtotal ARS]]+(Tabla2[[#This Row],[Subtotal ARS]]*Tabla2[[#This Row],[IVA]])</f>
        <v>29884.185000944999</v>
      </c>
      <c r="O149" s="39">
        <f>Tabla2[[#This Row],[TOTAL ARS]]/Tabla2[[#This Row],[TC BNA]]</f>
        <v>19.922790000629998</v>
      </c>
      <c r="P149" s="40">
        <f>_xlfn.XLOOKUP(A149,'TC_BNA xlsx'!A:A,'TC_BNA xlsx'!C:C,"No encontrado")</f>
        <v>1500</v>
      </c>
      <c r="Q149" s="22"/>
    </row>
    <row r="150" spans="1:24" x14ac:dyDescent="0.25">
      <c r="A150" s="32">
        <v>46203</v>
      </c>
      <c r="B150" s="21">
        <f>MONTH(Tabla2[[#This Row],[Fecha]])</f>
        <v>6</v>
      </c>
      <c r="C150" s="22" t="s">
        <v>105</v>
      </c>
      <c r="D150" s="41" t="str">
        <f>IFERROR(_xlfn.XLOOKUP(Tabla2[[#This Row],[Artículo]],Tabla1[Artículos],Tabla1[Rubro]),"")</f>
        <v>Embalaje</v>
      </c>
      <c r="E150" s="33" t="s">
        <v>24</v>
      </c>
      <c r="F150" s="34">
        <v>300</v>
      </c>
      <c r="G150" s="33" t="s">
        <v>25</v>
      </c>
      <c r="H150" s="35">
        <v>1151.787521</v>
      </c>
      <c r="I150" s="36">
        <f>Tabla2[[#This Row],[Precio Unitario ARS]]/Tabla2[[#This Row],[TC BNA]]</f>
        <v>0.76785834733333336</v>
      </c>
      <c r="J150" s="28">
        <v>0.1</v>
      </c>
      <c r="K150" s="33" t="s">
        <v>19</v>
      </c>
      <c r="L150" s="37">
        <v>0.21</v>
      </c>
      <c r="M150" s="38">
        <f>(Tabla2[[#This Row],[Precio Unitario ARS]]-(Tabla2[[#This Row],[Precio Unitario ARS]]*Tabla2[[#This Row],[DTO]]))*Tabla2[[#This Row],[Cantidad]]</f>
        <v>310982.63067000004</v>
      </c>
      <c r="N150" s="39">
        <f>Tabla2[[#This Row],[Subtotal ARS]]+(Tabla2[[#This Row],[Subtotal ARS]]*Tabla2[[#This Row],[IVA]])</f>
        <v>376288.98311070004</v>
      </c>
      <c r="O150" s="39">
        <f>Tabla2[[#This Row],[TOTAL ARS]]/Tabla2[[#This Row],[TC BNA]]</f>
        <v>250.85932207380003</v>
      </c>
      <c r="P150" s="40">
        <f>_xlfn.XLOOKUP(A150,'TC_BNA xlsx'!A:A,'TC_BNA xlsx'!C:C,"No encontrado")</f>
        <v>1500</v>
      </c>
      <c r="Q150" s="22"/>
    </row>
    <row r="151" spans="1:24" x14ac:dyDescent="0.25">
      <c r="A151" s="32">
        <v>46203</v>
      </c>
      <c r="B151" s="21">
        <f>MONTH(Tabla2[[#This Row],[Fecha]])</f>
        <v>6</v>
      </c>
      <c r="C151" s="22" t="s">
        <v>106</v>
      </c>
      <c r="D151" s="41" t="str">
        <f>IFERROR(_xlfn.XLOOKUP(Tabla2[[#This Row],[Artículo]],Tabla1[Artículos],Tabla1[Rubro]),"")</f>
        <v>Embalaje</v>
      </c>
      <c r="E151" s="33" t="s">
        <v>24</v>
      </c>
      <c r="F151" s="34">
        <v>300</v>
      </c>
      <c r="G151" s="33" t="s">
        <v>25</v>
      </c>
      <c r="H151" s="35">
        <v>814.51900799999999</v>
      </c>
      <c r="I151" s="36">
        <f>Tabla2[[#This Row],[Precio Unitario ARS]]/Tabla2[[#This Row],[TC BNA]]</f>
        <v>0.54301267200000003</v>
      </c>
      <c r="J151" s="28">
        <v>0.1</v>
      </c>
      <c r="K151" s="33" t="s">
        <v>19</v>
      </c>
      <c r="L151" s="37">
        <v>0.21</v>
      </c>
      <c r="M151" s="38">
        <f>(Tabla2[[#This Row],[Precio Unitario ARS]]-(Tabla2[[#This Row],[Precio Unitario ARS]]*Tabla2[[#This Row],[DTO]]))*Tabla2[[#This Row],[Cantidad]]</f>
        <v>219920.13216000001</v>
      </c>
      <c r="N151" s="39">
        <f>Tabla2[[#This Row],[Subtotal ARS]]+(Tabla2[[#This Row],[Subtotal ARS]]*Tabla2[[#This Row],[IVA]])</f>
        <v>266103.35991360003</v>
      </c>
      <c r="O151" s="39">
        <f>Tabla2[[#This Row],[TOTAL ARS]]/Tabla2[[#This Row],[TC BNA]]</f>
        <v>177.40223994240003</v>
      </c>
      <c r="P151" s="40">
        <f>_xlfn.XLOOKUP(A151,'TC_BNA xlsx'!A:A,'TC_BNA xlsx'!C:C,"No encontrado")</f>
        <v>1500</v>
      </c>
      <c r="Q151" s="22"/>
    </row>
    <row r="152" spans="1:24" x14ac:dyDescent="0.25">
      <c r="A152" s="20">
        <v>46204</v>
      </c>
      <c r="B152" s="21">
        <f>MONTH(Tabla2[[#This Row],[Fecha]])</f>
        <v>7</v>
      </c>
      <c r="C152" s="22" t="s">
        <v>76</v>
      </c>
      <c r="D152" s="23" t="str">
        <f>IFERROR(_xlfn.XLOOKUP(Tabla2[[#This Row],[Artículo]],Tabla1[Artículos],Tabla1[Rubro]),"")</f>
        <v>EPP</v>
      </c>
      <c r="E152" s="24" t="s">
        <v>22</v>
      </c>
      <c r="F152" s="25">
        <v>24</v>
      </c>
      <c r="G152" s="24" t="s">
        <v>23</v>
      </c>
      <c r="H152" s="26">
        <v>651.22</v>
      </c>
      <c r="I152" s="27">
        <f>Tabla2[[#This Row],[Precio Unitario ARS]]/Tabla2[[#This Row],[TC BNA]]</f>
        <v>0.43127152317880796</v>
      </c>
      <c r="J152" s="28">
        <v>0</v>
      </c>
      <c r="K152" s="24" t="s">
        <v>19</v>
      </c>
      <c r="L152" s="29">
        <v>0.21</v>
      </c>
      <c r="M152" s="30">
        <f>(Tabla2[[#This Row],[Precio Unitario ARS]]-(Tabla2[[#This Row],[Precio Unitario ARS]]*Tabla2[[#This Row],[DTO]]))*Tabla2[[#This Row],[Cantidad]]</f>
        <v>15629.28</v>
      </c>
      <c r="N152" s="26">
        <f>Tabla2[[#This Row],[Subtotal ARS]]+(Tabla2[[#This Row],[Subtotal ARS]]*Tabla2[[#This Row],[IVA]])</f>
        <v>18911.428800000002</v>
      </c>
      <c r="O152" s="26">
        <f>Tabla2[[#This Row],[TOTAL ARS]]/Tabla2[[#This Row],[TC BNA]]</f>
        <v>12.524125033112584</v>
      </c>
      <c r="P152" s="24">
        <f>_xlfn.XLOOKUP(A152,'TC_BNA xlsx'!A:A,'TC_BNA xlsx'!C:C,"No encontrado")</f>
        <v>1510</v>
      </c>
      <c r="Q152" s="23"/>
    </row>
    <row r="153" spans="1:24" x14ac:dyDescent="0.25">
      <c r="A153" s="20">
        <v>46204</v>
      </c>
      <c r="B153" s="21">
        <f>MONTH(Tabla2[[#This Row],[Fecha]])</f>
        <v>7</v>
      </c>
      <c r="C153" s="22" t="s">
        <v>77</v>
      </c>
      <c r="D153" s="23" t="str">
        <f>IFERROR(_xlfn.XLOOKUP(Tabla2[[#This Row],[Artículo]],Tabla1[Artículos],Tabla1[Rubro]),"")</f>
        <v>EPP</v>
      </c>
      <c r="E153" s="24" t="s">
        <v>22</v>
      </c>
      <c r="F153" s="25">
        <v>24</v>
      </c>
      <c r="G153" s="24" t="s">
        <v>23</v>
      </c>
      <c r="H153" s="26">
        <v>651.22</v>
      </c>
      <c r="I153" s="27">
        <f>Tabla2[[#This Row],[Precio Unitario ARS]]/Tabla2[[#This Row],[TC BNA]]</f>
        <v>0.43127152317880796</v>
      </c>
      <c r="J153" s="28">
        <v>0</v>
      </c>
      <c r="K153" s="24" t="s">
        <v>19</v>
      </c>
      <c r="L153" s="29">
        <v>0.21</v>
      </c>
      <c r="M153" s="30">
        <f>(Tabla2[[#This Row],[Precio Unitario ARS]]-(Tabla2[[#This Row],[Precio Unitario ARS]]*Tabla2[[#This Row],[DTO]]))*Tabla2[[#This Row],[Cantidad]]</f>
        <v>15629.28</v>
      </c>
      <c r="N153" s="26">
        <f>Tabla2[[#This Row],[Subtotal ARS]]+(Tabla2[[#This Row],[Subtotal ARS]]*Tabla2[[#This Row],[IVA]])</f>
        <v>18911.428800000002</v>
      </c>
      <c r="O153" s="26">
        <f>Tabla2[[#This Row],[TOTAL ARS]]/Tabla2[[#This Row],[TC BNA]]</f>
        <v>12.524125033112584</v>
      </c>
      <c r="P153" s="24">
        <f>_xlfn.XLOOKUP(A153,'TC_BNA xlsx'!A:A,'TC_BNA xlsx'!C:C,"No encontrado")</f>
        <v>1510</v>
      </c>
      <c r="Q153" s="23"/>
    </row>
    <row r="154" spans="1:24" x14ac:dyDescent="0.25">
      <c r="A154" s="20">
        <v>46204</v>
      </c>
      <c r="B154" s="21">
        <f>MONTH(Tabla2[[#This Row],[Fecha]])</f>
        <v>7</v>
      </c>
      <c r="C154" s="22" t="s">
        <v>75</v>
      </c>
      <c r="D154" s="23" t="str">
        <f>IFERROR(_xlfn.XLOOKUP(Tabla2[[#This Row],[Artículo]],Tabla1[Artículos],Tabla1[Rubro]),"")</f>
        <v>EPP</v>
      </c>
      <c r="E154" s="24" t="s">
        <v>22</v>
      </c>
      <c r="F154" s="25">
        <v>24</v>
      </c>
      <c r="G154" s="24" t="s">
        <v>23</v>
      </c>
      <c r="H154" s="26">
        <v>4795</v>
      </c>
      <c r="I154" s="27">
        <f>Tabla2[[#This Row],[Precio Unitario ARS]]/Tabla2[[#This Row],[TC BNA]]</f>
        <v>3.1754966887417218</v>
      </c>
      <c r="J154" s="28">
        <v>0</v>
      </c>
      <c r="K154" s="24" t="s">
        <v>19</v>
      </c>
      <c r="L154" s="29">
        <v>0.21</v>
      </c>
      <c r="M154" s="30">
        <f>(Tabla2[[#This Row],[Precio Unitario ARS]]-(Tabla2[[#This Row],[Precio Unitario ARS]]*Tabla2[[#This Row],[DTO]]))*Tabla2[[#This Row],[Cantidad]]</f>
        <v>115080</v>
      </c>
      <c r="N154" s="26">
        <f>Tabla2[[#This Row],[Subtotal ARS]]+(Tabla2[[#This Row],[Subtotal ARS]]*Tabla2[[#This Row],[IVA]])</f>
        <v>139246.79999999999</v>
      </c>
      <c r="O154" s="26">
        <f>Tabla2[[#This Row],[TOTAL ARS]]/Tabla2[[#This Row],[TC BNA]]</f>
        <v>92.216423841059594</v>
      </c>
      <c r="P154" s="24">
        <f>_xlfn.XLOOKUP(A154,'TC_BNA xlsx'!A:A,'TC_BNA xlsx'!C:C,"No encontrado")</f>
        <v>1510</v>
      </c>
      <c r="Q154" s="23"/>
    </row>
    <row r="155" spans="1:24" x14ac:dyDescent="0.25">
      <c r="A155" s="20">
        <v>46204</v>
      </c>
      <c r="B155" s="21">
        <f>MONTH(Tabla2[[#This Row],[Fecha]])</f>
        <v>7</v>
      </c>
      <c r="C155" s="22" t="s">
        <v>140</v>
      </c>
      <c r="D155" s="23" t="str">
        <f>IFERROR(_xlfn.XLOOKUP(Tabla2[[#This Row],[Artículo]],Tabla1[Artículos],Tabla1[Rubro]),"")</f>
        <v>Reventa</v>
      </c>
      <c r="E155" s="24" t="s">
        <v>149</v>
      </c>
      <c r="F155" s="25">
        <v>32</v>
      </c>
      <c r="G155" s="24" t="s">
        <v>150</v>
      </c>
      <c r="H155" s="26">
        <v>4800</v>
      </c>
      <c r="I155" s="27">
        <f>Tabla2[[#This Row],[Precio Unitario ARS]]/Tabla2[[#This Row],[TC BNA]]</f>
        <v>3.1788079470198674</v>
      </c>
      <c r="J155" s="28">
        <v>0</v>
      </c>
      <c r="K155" s="24" t="s">
        <v>19</v>
      </c>
      <c r="L155" s="29">
        <v>0.21</v>
      </c>
      <c r="M155" s="30">
        <f>(Tabla2[[#This Row],[Precio Unitario ARS]]-(Tabla2[[#This Row],[Precio Unitario ARS]]*Tabla2[[#This Row],[DTO]]))*Tabla2[[#This Row],[Cantidad]]</f>
        <v>153600</v>
      </c>
      <c r="N155" s="26">
        <f>Tabla2[[#This Row],[Subtotal ARS]]+(Tabla2[[#This Row],[Subtotal ARS]]*Tabla2[[#This Row],[IVA]])</f>
        <v>185856</v>
      </c>
      <c r="O155" s="26">
        <f>Tabla2[[#This Row],[TOTAL ARS]]/Tabla2[[#This Row],[TC BNA]]</f>
        <v>123.08344370860927</v>
      </c>
      <c r="P155" s="24">
        <f>_xlfn.XLOOKUP(A155,'TC_BNA xlsx'!A:A,'TC_BNA xlsx'!C:C,"No encontrado")</f>
        <v>1510</v>
      </c>
      <c r="Q155" s="23"/>
    </row>
    <row r="156" spans="1:24" x14ac:dyDescent="0.25">
      <c r="A156" s="20">
        <v>46204</v>
      </c>
      <c r="B156" s="21">
        <f>MONTH(Tabla2[[#This Row],[Fecha]])</f>
        <v>7</v>
      </c>
      <c r="C156" s="22" t="s">
        <v>141</v>
      </c>
      <c r="D156" s="23" t="str">
        <f>IFERROR(_xlfn.XLOOKUP(Tabla2[[#This Row],[Artículo]],Tabla1[Artículos],Tabla1[Rubro]),"")</f>
        <v>Reventa</v>
      </c>
      <c r="E156" s="24" t="s">
        <v>149</v>
      </c>
      <c r="F156" s="25">
        <v>20</v>
      </c>
      <c r="G156" s="24" t="s">
        <v>150</v>
      </c>
      <c r="H156" s="26">
        <v>4890</v>
      </c>
      <c r="I156" s="27">
        <f>Tabla2[[#This Row],[Precio Unitario ARS]]/Tabla2[[#This Row],[TC BNA]]</f>
        <v>3.23841059602649</v>
      </c>
      <c r="J156" s="28">
        <v>0</v>
      </c>
      <c r="K156" s="24" t="s">
        <v>19</v>
      </c>
      <c r="L156" s="29">
        <v>0.21</v>
      </c>
      <c r="M156" s="30">
        <f>(Tabla2[[#This Row],[Precio Unitario ARS]]-(Tabla2[[#This Row],[Precio Unitario ARS]]*Tabla2[[#This Row],[DTO]]))*Tabla2[[#This Row],[Cantidad]]</f>
        <v>97800</v>
      </c>
      <c r="N156" s="26">
        <f>Tabla2[[#This Row],[Subtotal ARS]]+(Tabla2[[#This Row],[Subtotal ARS]]*Tabla2[[#This Row],[IVA]])</f>
        <v>118338</v>
      </c>
      <c r="O156" s="26">
        <f>Tabla2[[#This Row],[TOTAL ARS]]/Tabla2[[#This Row],[TC BNA]]</f>
        <v>78.369536423841055</v>
      </c>
      <c r="P156" s="24">
        <f>_xlfn.XLOOKUP(A156,'TC_BNA xlsx'!A:A,'TC_BNA xlsx'!C:C,"No encontrado")</f>
        <v>1510</v>
      </c>
      <c r="Q156" s="23"/>
    </row>
    <row r="157" spans="1:24" x14ac:dyDescent="0.25">
      <c r="A157" s="20">
        <v>46204</v>
      </c>
      <c r="B157" s="21">
        <f>MONTH(Tabla2[[#This Row],[Fecha]])</f>
        <v>7</v>
      </c>
      <c r="C157" s="22" t="s">
        <v>142</v>
      </c>
      <c r="D157" s="23" t="str">
        <f>IFERROR(_xlfn.XLOOKUP(Tabla2[[#This Row],[Artículo]],Tabla1[Artículos],Tabla1[Rubro]),"")</f>
        <v>Reventa</v>
      </c>
      <c r="E157" s="24" t="s">
        <v>149</v>
      </c>
      <c r="F157" s="25">
        <v>5000</v>
      </c>
      <c r="G157" s="24" t="s">
        <v>25</v>
      </c>
      <c r="H157" s="26">
        <v>29.2</v>
      </c>
      <c r="I157" s="27">
        <f>Tabla2[[#This Row],[Precio Unitario ARS]]/Tabla2[[#This Row],[TC BNA]]</f>
        <v>1.933774834437086E-2</v>
      </c>
      <c r="J157" s="28">
        <v>0</v>
      </c>
      <c r="K157" s="24" t="s">
        <v>19</v>
      </c>
      <c r="L157" s="29">
        <v>0.21</v>
      </c>
      <c r="M157" s="30">
        <f>(Tabla2[[#This Row],[Precio Unitario ARS]]-(Tabla2[[#This Row],[Precio Unitario ARS]]*Tabla2[[#This Row],[DTO]]))*Tabla2[[#This Row],[Cantidad]]</f>
        <v>146000</v>
      </c>
      <c r="N157" s="26">
        <f>Tabla2[[#This Row],[Subtotal ARS]]+(Tabla2[[#This Row],[Subtotal ARS]]*Tabla2[[#This Row],[IVA]])</f>
        <v>176660</v>
      </c>
      <c r="O157" s="26">
        <f>Tabla2[[#This Row],[TOTAL ARS]]/Tabla2[[#This Row],[TC BNA]]</f>
        <v>116.99337748344371</v>
      </c>
      <c r="P157" s="24">
        <f>_xlfn.XLOOKUP(A157,'TC_BNA xlsx'!A:A,'TC_BNA xlsx'!C:C,"No encontrado")</f>
        <v>1510</v>
      </c>
      <c r="Q157" s="23"/>
    </row>
    <row r="158" spans="1:24" x14ac:dyDescent="0.25">
      <c r="A158" s="20">
        <v>46204</v>
      </c>
      <c r="B158" s="21">
        <f>MONTH(Tabla2[[#This Row],[Fecha]])</f>
        <v>7</v>
      </c>
      <c r="C158" s="22" t="s">
        <v>143</v>
      </c>
      <c r="D158" s="23" t="str">
        <f>IFERROR(_xlfn.XLOOKUP(Tabla2[[#This Row],[Artículo]],Tabla1[Artículos],Tabla1[Rubro]),"")</f>
        <v>Reventa</v>
      </c>
      <c r="E158" s="24" t="s">
        <v>149</v>
      </c>
      <c r="F158" s="25">
        <v>10000</v>
      </c>
      <c r="G158" s="24" t="s">
        <v>25</v>
      </c>
      <c r="H158" s="26">
        <v>235.44</v>
      </c>
      <c r="I158" s="27">
        <f>Tabla2[[#This Row],[Precio Unitario ARS]]/Tabla2[[#This Row],[TC BNA]]</f>
        <v>0.15592052980132451</v>
      </c>
      <c r="J158" s="28">
        <v>0</v>
      </c>
      <c r="K158" s="24" t="s">
        <v>19</v>
      </c>
      <c r="L158" s="29">
        <v>0.21</v>
      </c>
      <c r="M158" s="30">
        <f>(Tabla2[[#This Row],[Precio Unitario ARS]]-(Tabla2[[#This Row],[Precio Unitario ARS]]*Tabla2[[#This Row],[DTO]]))*Tabla2[[#This Row],[Cantidad]]</f>
        <v>2354400</v>
      </c>
      <c r="N158" s="31">
        <f>Tabla2[[#This Row],[Subtotal ARS]]+(Tabla2[[#This Row],[Subtotal ARS]]*Tabla2[[#This Row],[IVA]])</f>
        <v>2848824</v>
      </c>
      <c r="O158" s="31">
        <f>Tabla2[[#This Row],[TOTAL ARS]]/Tabla2[[#This Row],[TC BNA]]</f>
        <v>1886.6384105960265</v>
      </c>
      <c r="P158" s="21">
        <f>_xlfn.XLOOKUP(A158,'TC_BNA xlsx'!A:A,'TC_BNA xlsx'!C:C,"No encontrado")</f>
        <v>1510</v>
      </c>
      <c r="Q158" s="23"/>
    </row>
    <row r="159" spans="1:24" x14ac:dyDescent="0.25">
      <c r="A159" s="20">
        <v>46204</v>
      </c>
      <c r="B159" s="21">
        <f>MONTH(Tabla2[[#This Row],[Fecha]])</f>
        <v>7</v>
      </c>
      <c r="C159" s="22" t="s">
        <v>144</v>
      </c>
      <c r="D159" s="23" t="str">
        <f>IFERROR(_xlfn.XLOOKUP(Tabla2[[#This Row],[Artículo]],Tabla1[Artículos],Tabla1[Rubro]),"")</f>
        <v>Reventa</v>
      </c>
      <c r="E159" s="24" t="s">
        <v>149</v>
      </c>
      <c r="F159" s="25">
        <v>2000</v>
      </c>
      <c r="G159" s="24" t="s">
        <v>25</v>
      </c>
      <c r="H159" s="26">
        <v>123</v>
      </c>
      <c r="I159" s="27">
        <f>Tabla2[[#This Row],[Precio Unitario ARS]]/Tabla2[[#This Row],[TC BNA]]</f>
        <v>8.1456953642384103E-2</v>
      </c>
      <c r="J159" s="28">
        <v>0</v>
      </c>
      <c r="K159" s="24" t="s">
        <v>19</v>
      </c>
      <c r="L159" s="29">
        <v>0.21</v>
      </c>
      <c r="M159" s="30">
        <f>(Tabla2[[#This Row],[Precio Unitario ARS]]-(Tabla2[[#This Row],[Precio Unitario ARS]]*Tabla2[[#This Row],[DTO]]))*Tabla2[[#This Row],[Cantidad]]</f>
        <v>246000</v>
      </c>
      <c r="N159" s="31">
        <f>Tabla2[[#This Row],[Subtotal ARS]]+(Tabla2[[#This Row],[Subtotal ARS]]*Tabla2[[#This Row],[IVA]])</f>
        <v>297660</v>
      </c>
      <c r="O159" s="31">
        <f>Tabla2[[#This Row],[TOTAL ARS]]/Tabla2[[#This Row],[TC BNA]]</f>
        <v>197.12582781456953</v>
      </c>
      <c r="P159" s="21">
        <f>_xlfn.XLOOKUP(A159,'TC_BNA xlsx'!A:A,'TC_BNA xlsx'!C:C,"No encontrado")</f>
        <v>1510</v>
      </c>
      <c r="Q159" s="23" t="s">
        <v>151</v>
      </c>
    </row>
    <row r="160" spans="1:24" x14ac:dyDescent="0.25">
      <c r="A160" s="20">
        <v>46204</v>
      </c>
      <c r="B160" s="21">
        <f>MONTH(Tabla2[[#This Row],[Fecha]])</f>
        <v>7</v>
      </c>
      <c r="C160" s="22" t="s">
        <v>145</v>
      </c>
      <c r="D160" s="23" t="str">
        <f>IFERROR(_xlfn.XLOOKUP(Tabla2[[#This Row],[Artículo]],Tabla1[Artículos],Tabla1[Rubro]),"")</f>
        <v>Reventa</v>
      </c>
      <c r="E160" s="24" t="s">
        <v>149</v>
      </c>
      <c r="F160" s="25">
        <v>2000</v>
      </c>
      <c r="G160" s="24" t="s">
        <v>25</v>
      </c>
      <c r="H160" s="26">
        <v>246</v>
      </c>
      <c r="I160" s="27">
        <f>Tabla2[[#This Row],[Precio Unitario ARS]]/Tabla2[[#This Row],[TC BNA]]</f>
        <v>0.16291390728476821</v>
      </c>
      <c r="J160" s="28">
        <v>0</v>
      </c>
      <c r="K160" s="24" t="s">
        <v>19</v>
      </c>
      <c r="L160" s="29">
        <v>0.21</v>
      </c>
      <c r="M160" s="30">
        <f>(Tabla2[[#This Row],[Precio Unitario ARS]]-(Tabla2[[#This Row],[Precio Unitario ARS]]*Tabla2[[#This Row],[DTO]]))*Tabla2[[#This Row],[Cantidad]]</f>
        <v>492000</v>
      </c>
      <c r="N160" s="31">
        <f>Tabla2[[#This Row],[Subtotal ARS]]+(Tabla2[[#This Row],[Subtotal ARS]]*Tabla2[[#This Row],[IVA]])</f>
        <v>595320</v>
      </c>
      <c r="O160" s="31">
        <f>Tabla2[[#This Row],[TOTAL ARS]]/Tabla2[[#This Row],[TC BNA]]</f>
        <v>394.25165562913907</v>
      </c>
      <c r="P160" s="21">
        <f>_xlfn.XLOOKUP(A160,'TC_BNA xlsx'!A:A,'TC_BNA xlsx'!C:C,"No encontrado")</f>
        <v>1510</v>
      </c>
      <c r="Q160" s="23" t="s">
        <v>151</v>
      </c>
    </row>
    <row r="161" spans="1:17" x14ac:dyDescent="0.25">
      <c r="A161" s="20">
        <v>46204</v>
      </c>
      <c r="B161" s="21">
        <f>MONTH(Tabla2[[#This Row],[Fecha]])</f>
        <v>7</v>
      </c>
      <c r="C161" s="22" t="s">
        <v>146</v>
      </c>
      <c r="D161" s="23" t="str">
        <f>IFERROR(_xlfn.XLOOKUP(Tabla2[[#This Row],[Artículo]],Tabla1[Artículos],Tabla1[Rubro]),"")</f>
        <v>Reventa</v>
      </c>
      <c r="E161" s="24" t="s">
        <v>149</v>
      </c>
      <c r="F161" s="25">
        <v>2000</v>
      </c>
      <c r="G161" s="24" t="s">
        <v>25</v>
      </c>
      <c r="H161" s="26">
        <v>140</v>
      </c>
      <c r="I161" s="27">
        <f>Tabla2[[#This Row],[Precio Unitario ARS]]/Tabla2[[#This Row],[TC BNA]]</f>
        <v>9.2715231788079472E-2</v>
      </c>
      <c r="J161" s="28">
        <v>0</v>
      </c>
      <c r="K161" s="24" t="s">
        <v>19</v>
      </c>
      <c r="L161" s="29">
        <v>0.21</v>
      </c>
      <c r="M161" s="30">
        <f>(Tabla2[[#This Row],[Precio Unitario ARS]]-(Tabla2[[#This Row],[Precio Unitario ARS]]*Tabla2[[#This Row],[DTO]]))*Tabla2[[#This Row],[Cantidad]]</f>
        <v>280000</v>
      </c>
      <c r="N161" s="31">
        <f>Tabla2[[#This Row],[Subtotal ARS]]+(Tabla2[[#This Row],[Subtotal ARS]]*Tabla2[[#This Row],[IVA]])</f>
        <v>338800</v>
      </c>
      <c r="O161" s="31">
        <f>Tabla2[[#This Row],[TOTAL ARS]]/Tabla2[[#This Row],[TC BNA]]</f>
        <v>224.37086092715231</v>
      </c>
      <c r="P161" s="21">
        <f>_xlfn.XLOOKUP(A161,'TC_BNA xlsx'!A:A,'TC_BNA xlsx'!C:C,"No encontrado")</f>
        <v>1510</v>
      </c>
      <c r="Q161" s="23" t="s">
        <v>151</v>
      </c>
    </row>
    <row r="162" spans="1:17" x14ac:dyDescent="0.25">
      <c r="A162" s="20">
        <v>46204</v>
      </c>
      <c r="B162" s="21">
        <f>MONTH(Tabla2[[#This Row],[Fecha]])</f>
        <v>7</v>
      </c>
      <c r="C162" s="22" t="s">
        <v>147</v>
      </c>
      <c r="D162" s="23" t="str">
        <f>IFERROR(_xlfn.XLOOKUP(Tabla2[[#This Row],[Artículo]],Tabla1[Artículos],Tabla1[Rubro]),"")</f>
        <v>Reventa</v>
      </c>
      <c r="E162" s="24" t="s">
        <v>149</v>
      </c>
      <c r="F162" s="25">
        <v>100000</v>
      </c>
      <c r="G162" s="24" t="s">
        <v>25</v>
      </c>
      <c r="H162" s="26">
        <v>27.97</v>
      </c>
      <c r="I162" s="27">
        <f>Tabla2[[#This Row],[Precio Unitario ARS]]/Tabla2[[#This Row],[TC BNA]]</f>
        <v>1.852317880794702E-2</v>
      </c>
      <c r="J162" s="28">
        <v>0</v>
      </c>
      <c r="K162" s="24" t="s">
        <v>19</v>
      </c>
      <c r="L162" s="29">
        <v>0.21</v>
      </c>
      <c r="M162" s="30">
        <f>(Tabla2[[#This Row],[Precio Unitario ARS]]-(Tabla2[[#This Row],[Precio Unitario ARS]]*Tabla2[[#This Row],[DTO]]))*Tabla2[[#This Row],[Cantidad]]</f>
        <v>2797000</v>
      </c>
      <c r="N162" s="31">
        <f>Tabla2[[#This Row],[Subtotal ARS]]+(Tabla2[[#This Row],[Subtotal ARS]]*Tabla2[[#This Row],[IVA]])</f>
        <v>3384370</v>
      </c>
      <c r="O162" s="31">
        <f>Tabla2[[#This Row],[TOTAL ARS]]/Tabla2[[#This Row],[TC BNA]]</f>
        <v>2241.3046357615895</v>
      </c>
      <c r="P162" s="21">
        <f>_xlfn.XLOOKUP(A162,'TC_BNA xlsx'!A:A,'TC_BNA xlsx'!C:C,"No encontrado")</f>
        <v>1510</v>
      </c>
      <c r="Q162" s="23"/>
    </row>
    <row r="163" spans="1:17" x14ac:dyDescent="0.25">
      <c r="A163" s="20">
        <v>46204</v>
      </c>
      <c r="B163" s="21">
        <f>MONTH(Tabla2[[#This Row],[Fecha]])</f>
        <v>7</v>
      </c>
      <c r="C163" s="22" t="s">
        <v>148</v>
      </c>
      <c r="D163" s="23" t="str">
        <f>IFERROR(_xlfn.XLOOKUP(Tabla2[[#This Row],[Artículo]],Tabla1[Artículos],Tabla1[Rubro]),"")</f>
        <v>Reventa</v>
      </c>
      <c r="E163" s="24" t="s">
        <v>149</v>
      </c>
      <c r="F163" s="25">
        <v>54000</v>
      </c>
      <c r="G163" s="24" t="s">
        <v>25</v>
      </c>
      <c r="H163" s="26">
        <v>16</v>
      </c>
      <c r="I163" s="27">
        <f>Tabla2[[#This Row],[Precio Unitario ARS]]/Tabla2[[#This Row],[TC BNA]]</f>
        <v>1.0596026490066225E-2</v>
      </c>
      <c r="J163" s="28">
        <v>0</v>
      </c>
      <c r="K163" s="24" t="s">
        <v>19</v>
      </c>
      <c r="L163" s="29">
        <v>0.21</v>
      </c>
      <c r="M163" s="30">
        <f>(Tabla2[[#This Row],[Precio Unitario ARS]]-(Tabla2[[#This Row],[Precio Unitario ARS]]*Tabla2[[#This Row],[DTO]]))*Tabla2[[#This Row],[Cantidad]]</f>
        <v>864000</v>
      </c>
      <c r="N163" s="31">
        <f>Tabla2[[#This Row],[Subtotal ARS]]+(Tabla2[[#This Row],[Subtotal ARS]]*Tabla2[[#This Row],[IVA]])</f>
        <v>1045440</v>
      </c>
      <c r="O163" s="31">
        <f>Tabla2[[#This Row],[TOTAL ARS]]/Tabla2[[#This Row],[TC BNA]]</f>
        <v>692.34437086092714</v>
      </c>
      <c r="P163" s="21">
        <f>_xlfn.XLOOKUP(A163,'TC_BNA xlsx'!A:A,'TC_BNA xlsx'!C:C,"No encontrado")</f>
        <v>1510</v>
      </c>
      <c r="Q163" s="23"/>
    </row>
    <row r="164" spans="1:17" x14ac:dyDescent="0.25">
      <c r="A164" s="20">
        <v>46204</v>
      </c>
      <c r="B164" s="21">
        <f>MONTH(Tabla2[[#This Row],[Fecha]])</f>
        <v>7</v>
      </c>
      <c r="C164" s="22" t="s">
        <v>142</v>
      </c>
      <c r="D164" s="23" t="str">
        <f>IFERROR(_xlfn.XLOOKUP(Tabla2[[#This Row],[Artículo]],Tabla1[Artículos],Tabla1[Rubro]),"")</f>
        <v>Reventa</v>
      </c>
      <c r="E164" s="24" t="s">
        <v>149</v>
      </c>
      <c r="F164" s="25">
        <v>10000</v>
      </c>
      <c r="G164" s="24" t="s">
        <v>25</v>
      </c>
      <c r="H164" s="26">
        <v>29.2</v>
      </c>
      <c r="I164" s="27">
        <f>Tabla2[[#This Row],[Precio Unitario ARS]]/Tabla2[[#This Row],[TC BNA]]</f>
        <v>1.933774834437086E-2</v>
      </c>
      <c r="J164" s="28">
        <v>0</v>
      </c>
      <c r="K164" s="24" t="s">
        <v>19</v>
      </c>
      <c r="L164" s="29">
        <v>0.21</v>
      </c>
      <c r="M164" s="30">
        <f>(Tabla2[[#This Row],[Precio Unitario ARS]]-(Tabla2[[#This Row],[Precio Unitario ARS]]*Tabla2[[#This Row],[DTO]]))*Tabla2[[#This Row],[Cantidad]]</f>
        <v>292000</v>
      </c>
      <c r="N164" s="31">
        <f>Tabla2[[#This Row],[Subtotal ARS]]+(Tabla2[[#This Row],[Subtotal ARS]]*Tabla2[[#This Row],[IVA]])</f>
        <v>353320</v>
      </c>
      <c r="O164" s="31">
        <f>Tabla2[[#This Row],[TOTAL ARS]]/Tabla2[[#This Row],[TC BNA]]</f>
        <v>233.98675496688742</v>
      </c>
      <c r="P164" s="21">
        <f>_xlfn.XLOOKUP(A164,'TC_BNA xlsx'!A:A,'TC_BNA xlsx'!C:C,"No encontrado")</f>
        <v>1510</v>
      </c>
      <c r="Q164" s="23"/>
    </row>
    <row r="165" spans="1:17" x14ac:dyDescent="0.25">
      <c r="A165" s="32">
        <v>46204</v>
      </c>
      <c r="B165" s="21">
        <f>MONTH(Tabla2[[#This Row],[Fecha]])</f>
        <v>7</v>
      </c>
      <c r="C165" s="22" t="s">
        <v>312</v>
      </c>
      <c r="D165" s="41" t="str">
        <f>IFERROR(_xlfn.XLOOKUP(Tabla2[[#This Row],[Artículo]],Tabla1[Artículos],Tabla1[Rubro]),"")</f>
        <v>Herramientas</v>
      </c>
      <c r="E165" s="33" t="s">
        <v>118</v>
      </c>
      <c r="F165" s="34">
        <v>2</v>
      </c>
      <c r="G165" s="33" t="s">
        <v>25</v>
      </c>
      <c r="H165" s="35">
        <v>37000</v>
      </c>
      <c r="I165" s="36">
        <f>Tabla2[[#This Row],[Precio Unitario ARS]]/Tabla2[[#This Row],[TC BNA]]</f>
        <v>24.503311258278146</v>
      </c>
      <c r="J165" s="28">
        <v>0.1</v>
      </c>
      <c r="K165" s="33" t="s">
        <v>19</v>
      </c>
      <c r="L165" s="37">
        <v>0.21</v>
      </c>
      <c r="M165" s="38">
        <f>(Tabla2[[#This Row],[Precio Unitario ARS]]-(Tabla2[[#This Row],[Precio Unitario ARS]]*Tabla2[[#This Row],[DTO]]))*Tabla2[[#This Row],[Cantidad]]</f>
        <v>66600</v>
      </c>
      <c r="N165" s="39">
        <f>Tabla2[[#This Row],[Subtotal ARS]]+(Tabla2[[#This Row],[Subtotal ARS]]*Tabla2[[#This Row],[IVA]])</f>
        <v>80586</v>
      </c>
      <c r="O165" s="39">
        <f>Tabla2[[#This Row],[TOTAL ARS]]/Tabla2[[#This Row],[TC BNA]]</f>
        <v>53.368211920529802</v>
      </c>
      <c r="P165" s="40">
        <f>_xlfn.XLOOKUP(A165,'TC_BNA xlsx'!A:A,'TC_BNA xlsx'!C:C,"No encontrado")</f>
        <v>1510</v>
      </c>
      <c r="Q165" s="22"/>
    </row>
    <row r="166" spans="1:17" x14ac:dyDescent="0.25">
      <c r="A166" s="32">
        <v>46204</v>
      </c>
      <c r="B166" s="21">
        <f>MONTH(Tabla2[[#This Row],[Fecha]])</f>
        <v>7</v>
      </c>
      <c r="C166" s="22" t="s">
        <v>54</v>
      </c>
      <c r="D166" s="41" t="str">
        <f>IFERROR(_xlfn.XLOOKUP(Tabla2[[#This Row],[Artículo]],Tabla1[Artículos],Tabla1[Rubro]),"")</f>
        <v>Embalaje</v>
      </c>
      <c r="E166" s="33" t="s">
        <v>16</v>
      </c>
      <c r="F166" s="34">
        <v>20</v>
      </c>
      <c r="G166" s="33" t="s">
        <v>17</v>
      </c>
      <c r="H166" s="35">
        <v>22056.94</v>
      </c>
      <c r="I166" s="36">
        <f>Tabla2[[#This Row],[Precio Unitario ARS]]/Tabla2[[#This Row],[TC BNA]]</f>
        <v>14.607245033112582</v>
      </c>
      <c r="J166" s="28">
        <v>0.4</v>
      </c>
      <c r="K166" s="24" t="s">
        <v>19</v>
      </c>
      <c r="L166" s="29">
        <v>0.21</v>
      </c>
      <c r="M166" s="38">
        <f>(Tabla2[[#This Row],[Precio Unitario ARS]]-(Tabla2[[#This Row],[Precio Unitario ARS]]*Tabla2[[#This Row],[DTO]]))*Tabla2[[#This Row],[Cantidad]]</f>
        <v>264683.27999999997</v>
      </c>
      <c r="N166" s="39">
        <f>Tabla2[[#This Row],[Subtotal ARS]]+(Tabla2[[#This Row],[Subtotal ARS]]*Tabla2[[#This Row],[IVA]])</f>
        <v>320266.76879999996</v>
      </c>
      <c r="O166" s="39">
        <f>Tabla2[[#This Row],[TOTAL ARS]]/Tabla2[[#This Row],[TC BNA]]</f>
        <v>212.09719788079468</v>
      </c>
      <c r="P166" s="40">
        <f>_xlfn.XLOOKUP(A166,'TC_BNA xlsx'!A:A,'TC_BNA xlsx'!C:C,"No encontrado")</f>
        <v>1510</v>
      </c>
      <c r="Q166" s="22"/>
    </row>
    <row r="167" spans="1:17" x14ac:dyDescent="0.25">
      <c r="A167" s="32">
        <v>46204</v>
      </c>
      <c r="B167" s="21">
        <f>MONTH(Tabla2[[#This Row],[Fecha]])</f>
        <v>7</v>
      </c>
      <c r="C167" s="22" t="s">
        <v>53</v>
      </c>
      <c r="D167" s="41" t="str">
        <f>IFERROR(_xlfn.XLOOKUP(Tabla2[[#This Row],[Artículo]],Tabla1[Artículos],Tabla1[Rubro]),"")</f>
        <v>Embalaje</v>
      </c>
      <c r="E167" s="33" t="s">
        <v>16</v>
      </c>
      <c r="F167" s="34">
        <v>5</v>
      </c>
      <c r="G167" s="33" t="s">
        <v>17</v>
      </c>
      <c r="H167" s="35">
        <v>27888.080000000002</v>
      </c>
      <c r="I167" s="36">
        <f>Tabla2[[#This Row],[Precio Unitario ARS]]/Tabla2[[#This Row],[TC BNA]]</f>
        <v>18.468927152317882</v>
      </c>
      <c r="J167" s="28">
        <v>0.4</v>
      </c>
      <c r="K167" s="24" t="s">
        <v>19</v>
      </c>
      <c r="L167" s="29">
        <v>0.21</v>
      </c>
      <c r="M167" s="38">
        <f>(Tabla2[[#This Row],[Precio Unitario ARS]]-(Tabla2[[#This Row],[Precio Unitario ARS]]*Tabla2[[#This Row],[DTO]]))*Tabla2[[#This Row],[Cantidad]]</f>
        <v>83664.239999999991</v>
      </c>
      <c r="N167" s="39">
        <f>Tabla2[[#This Row],[Subtotal ARS]]+(Tabla2[[#This Row],[Subtotal ARS]]*Tabla2[[#This Row],[IVA]])</f>
        <v>101233.73039999999</v>
      </c>
      <c r="O167" s="39">
        <f>Tabla2[[#This Row],[TOTAL ARS]]/Tabla2[[#This Row],[TC BNA]]</f>
        <v>67.042205562913892</v>
      </c>
      <c r="P167" s="40">
        <f>_xlfn.XLOOKUP(A167,'TC_BNA xlsx'!A:A,'TC_BNA xlsx'!C:C,"No encontrado")</f>
        <v>1510</v>
      </c>
      <c r="Q167" s="22"/>
    </row>
    <row r="168" spans="1:17" x14ac:dyDescent="0.25">
      <c r="A168" s="20">
        <v>46205</v>
      </c>
      <c r="B168" s="21">
        <f>MONTH(Tabla2[[#This Row],[Fecha]])</f>
        <v>7</v>
      </c>
      <c r="C168" s="22" t="s">
        <v>69</v>
      </c>
      <c r="D168" s="23" t="str">
        <f>IFERROR(_xlfn.XLOOKUP(Tabla2[[#This Row],[Artículo]],Tabla1[Artículos],Tabla1[Rubro]),"")</f>
        <v>EPP</v>
      </c>
      <c r="E168" s="24" t="s">
        <v>119</v>
      </c>
      <c r="F168" s="25">
        <v>5</v>
      </c>
      <c r="G168" s="24" t="s">
        <v>25</v>
      </c>
      <c r="H168" s="26">
        <v>1796.9</v>
      </c>
      <c r="I168" s="27">
        <f>Tabla2[[#This Row],[Precio Unitario ARS]]/Tabla2[[#This Row],[TC BNA]]</f>
        <v>1.1900000000000002</v>
      </c>
      <c r="J168" s="28">
        <v>0</v>
      </c>
      <c r="K168" s="24" t="s">
        <v>139</v>
      </c>
      <c r="L168" s="29">
        <v>0.21</v>
      </c>
      <c r="M168" s="30">
        <f>(Tabla2[[#This Row],[Precio Unitario ARS]]-(Tabla2[[#This Row],[Precio Unitario ARS]]*Tabla2[[#This Row],[DTO]]))*Tabla2[[#This Row],[Cantidad]]</f>
        <v>8984.5</v>
      </c>
      <c r="N168" s="31">
        <f>Tabla2[[#This Row],[Subtotal ARS]]+(Tabla2[[#This Row],[Subtotal ARS]]*Tabla2[[#This Row],[IVA]])</f>
        <v>10871.244999999999</v>
      </c>
      <c r="O168" s="31">
        <f>Tabla2[[#This Row],[TOTAL ARS]]/Tabla2[[#This Row],[TC BNA]]</f>
        <v>7.1994999999999996</v>
      </c>
      <c r="P168" s="21">
        <f>_xlfn.XLOOKUP(A168,'TC_BNA xlsx'!A:A,'TC_BNA xlsx'!C:C,"No encontrado")</f>
        <v>1510</v>
      </c>
      <c r="Q168" s="23"/>
    </row>
    <row r="169" spans="1:17" x14ac:dyDescent="0.25">
      <c r="A169" s="20">
        <v>46205</v>
      </c>
      <c r="B169" s="21">
        <f>MONTH(Tabla2[[#This Row],[Fecha]])</f>
        <v>7</v>
      </c>
      <c r="C169" s="22" t="s">
        <v>78</v>
      </c>
      <c r="D169" s="23" t="str">
        <f>IFERROR(_xlfn.XLOOKUP(Tabla2[[#This Row],[Artículo]],Tabla1[Artículos],Tabla1[Rubro]),"")</f>
        <v>EPP</v>
      </c>
      <c r="E169" s="24" t="s">
        <v>119</v>
      </c>
      <c r="F169" s="25">
        <v>3</v>
      </c>
      <c r="G169" s="24" t="s">
        <v>25</v>
      </c>
      <c r="H169" s="26">
        <v>5436</v>
      </c>
      <c r="I169" s="27">
        <f>Tabla2[[#This Row],[Precio Unitario ARS]]/Tabla2[[#This Row],[TC BNA]]</f>
        <v>3.6</v>
      </c>
      <c r="J169" s="28">
        <v>0</v>
      </c>
      <c r="K169" s="24" t="s">
        <v>139</v>
      </c>
      <c r="L169" s="29">
        <v>0.21</v>
      </c>
      <c r="M169" s="30">
        <f>(Tabla2[[#This Row],[Precio Unitario ARS]]-(Tabla2[[#This Row],[Precio Unitario ARS]]*Tabla2[[#This Row],[DTO]]))*Tabla2[[#This Row],[Cantidad]]</f>
        <v>16308</v>
      </c>
      <c r="N169" s="31">
        <f>Tabla2[[#This Row],[Subtotal ARS]]+(Tabla2[[#This Row],[Subtotal ARS]]*Tabla2[[#This Row],[IVA]])</f>
        <v>19732.68</v>
      </c>
      <c r="O169" s="31">
        <f>Tabla2[[#This Row],[TOTAL ARS]]/Tabla2[[#This Row],[TC BNA]]</f>
        <v>13.068</v>
      </c>
      <c r="P169" s="21">
        <f>_xlfn.XLOOKUP(A169,'TC_BNA xlsx'!A:A,'TC_BNA xlsx'!C:C,"No encontrado")</f>
        <v>1510</v>
      </c>
      <c r="Q169" s="23"/>
    </row>
    <row r="170" spans="1:17" x14ac:dyDescent="0.25">
      <c r="A170" s="20">
        <v>46205</v>
      </c>
      <c r="B170" s="21">
        <f>MONTH(Tabla2[[#This Row],[Fecha]])</f>
        <v>7</v>
      </c>
      <c r="C170" s="22" t="s">
        <v>153</v>
      </c>
      <c r="D170" s="23" t="str">
        <f>IFERROR(_xlfn.XLOOKUP(Tabla2[[#This Row],[Artículo]],Tabla1[Artículos],Tabla1[Rubro]),"")</f>
        <v>Reventa</v>
      </c>
      <c r="E170" s="24" t="s">
        <v>155</v>
      </c>
      <c r="F170" s="25">
        <v>500</v>
      </c>
      <c r="G170" s="24" t="s">
        <v>25</v>
      </c>
      <c r="H170" s="26">
        <v>998</v>
      </c>
      <c r="I170" s="27">
        <f>Tabla2[[#This Row],[Precio Unitario ARS]]/Tabla2[[#This Row],[TC BNA]]</f>
        <v>0.66092715231788079</v>
      </c>
      <c r="J170" s="28">
        <v>0</v>
      </c>
      <c r="K170" s="24" t="s">
        <v>19</v>
      </c>
      <c r="L170" s="29">
        <v>0.21</v>
      </c>
      <c r="M170" s="30">
        <f>(Tabla2[[#This Row],[Precio Unitario ARS]]-(Tabla2[[#This Row],[Precio Unitario ARS]]*Tabla2[[#This Row],[DTO]]))*Tabla2[[#This Row],[Cantidad]]</f>
        <v>499000</v>
      </c>
      <c r="N170" s="31">
        <f>Tabla2[[#This Row],[Subtotal ARS]]+(Tabla2[[#This Row],[Subtotal ARS]]*Tabla2[[#This Row],[IVA]])</f>
        <v>603790</v>
      </c>
      <c r="O170" s="31">
        <f>Tabla2[[#This Row],[TOTAL ARS]]/Tabla2[[#This Row],[TC BNA]]</f>
        <v>399.86092715231786</v>
      </c>
      <c r="P170" s="21">
        <f>_xlfn.XLOOKUP(A170,'TC_BNA xlsx'!A:A,'TC_BNA xlsx'!C:C,"No encontrado")</f>
        <v>1510</v>
      </c>
      <c r="Q170" s="23"/>
    </row>
    <row r="171" spans="1:17" x14ac:dyDescent="0.25">
      <c r="A171" s="20">
        <v>46205</v>
      </c>
      <c r="B171" s="21">
        <f>MONTH(Tabla2[[#This Row],[Fecha]])</f>
        <v>7</v>
      </c>
      <c r="C171" s="22" t="s">
        <v>152</v>
      </c>
      <c r="D171" s="23" t="str">
        <f>IFERROR(_xlfn.XLOOKUP(Tabla2[[#This Row],[Artículo]],Tabla1[Artículos],Tabla1[Rubro]),"")</f>
        <v>Reventa</v>
      </c>
      <c r="E171" s="24" t="s">
        <v>155</v>
      </c>
      <c r="F171" s="25">
        <v>1000</v>
      </c>
      <c r="G171" s="24" t="s">
        <v>25</v>
      </c>
      <c r="H171" s="26">
        <v>450</v>
      </c>
      <c r="I171" s="27">
        <f>Tabla2[[#This Row],[Precio Unitario ARS]]/Tabla2[[#This Row],[TC BNA]]</f>
        <v>0.29801324503311261</v>
      </c>
      <c r="J171" s="28">
        <v>0</v>
      </c>
      <c r="K171" s="24" t="s">
        <v>19</v>
      </c>
      <c r="L171" s="29">
        <v>0.21</v>
      </c>
      <c r="M171" s="30">
        <f>(Tabla2[[#This Row],[Precio Unitario ARS]]-(Tabla2[[#This Row],[Precio Unitario ARS]]*Tabla2[[#This Row],[DTO]]))*Tabla2[[#This Row],[Cantidad]]</f>
        <v>450000</v>
      </c>
      <c r="N171" s="31">
        <f>Tabla2[[#This Row],[Subtotal ARS]]+(Tabla2[[#This Row],[Subtotal ARS]]*Tabla2[[#This Row],[IVA]])</f>
        <v>544500</v>
      </c>
      <c r="O171" s="31">
        <f>Tabla2[[#This Row],[TOTAL ARS]]/Tabla2[[#This Row],[TC BNA]]</f>
        <v>360.59602649006621</v>
      </c>
      <c r="P171" s="21">
        <f>_xlfn.XLOOKUP(A171,'TC_BNA xlsx'!A:A,'TC_BNA xlsx'!C:C,"No encontrado")</f>
        <v>1510</v>
      </c>
      <c r="Q171" s="23"/>
    </row>
    <row r="172" spans="1:17" x14ac:dyDescent="0.25">
      <c r="A172" s="20">
        <v>46205</v>
      </c>
      <c r="B172" s="21">
        <f>MONTH(Tabla2[[#This Row],[Fecha]])</f>
        <v>7</v>
      </c>
      <c r="C172" s="22" t="s">
        <v>153</v>
      </c>
      <c r="D172" s="23" t="str">
        <f>IFERROR(_xlfn.XLOOKUP(Tabla2[[#This Row],[Artículo]],Tabla1[Artículos],Tabla1[Rubro]),"")</f>
        <v>Reventa</v>
      </c>
      <c r="E172" s="24" t="s">
        <v>155</v>
      </c>
      <c r="F172" s="25">
        <v>1500</v>
      </c>
      <c r="G172" s="24" t="s">
        <v>25</v>
      </c>
      <c r="H172" s="26">
        <v>998</v>
      </c>
      <c r="I172" s="27">
        <f>Tabla2[[#This Row],[Precio Unitario ARS]]/Tabla2[[#This Row],[TC BNA]]</f>
        <v>0.66092715231788079</v>
      </c>
      <c r="J172" s="28">
        <v>0</v>
      </c>
      <c r="K172" s="24" t="s">
        <v>19</v>
      </c>
      <c r="L172" s="29">
        <v>0.21</v>
      </c>
      <c r="M172" s="30">
        <f>(Tabla2[[#This Row],[Precio Unitario ARS]]-(Tabla2[[#This Row],[Precio Unitario ARS]]*Tabla2[[#This Row],[DTO]]))*Tabla2[[#This Row],[Cantidad]]</f>
        <v>1497000</v>
      </c>
      <c r="N172" s="31">
        <f>Tabla2[[#This Row],[Subtotal ARS]]+(Tabla2[[#This Row],[Subtotal ARS]]*Tabla2[[#This Row],[IVA]])</f>
        <v>1811370</v>
      </c>
      <c r="O172" s="31">
        <f>Tabla2[[#This Row],[TOTAL ARS]]/Tabla2[[#This Row],[TC BNA]]</f>
        <v>1199.5827814569536</v>
      </c>
      <c r="P172" s="21">
        <f>_xlfn.XLOOKUP(A172,'TC_BNA xlsx'!A:A,'TC_BNA xlsx'!C:C,"No encontrado")</f>
        <v>1510</v>
      </c>
      <c r="Q172" s="23"/>
    </row>
    <row r="173" spans="1:17" x14ac:dyDescent="0.25">
      <c r="A173" s="20">
        <v>46205</v>
      </c>
      <c r="B173" s="21">
        <f>MONTH(Tabla2[[#This Row],[Fecha]])</f>
        <v>7</v>
      </c>
      <c r="C173" s="22" t="s">
        <v>152</v>
      </c>
      <c r="D173" s="23" t="str">
        <f>IFERROR(_xlfn.XLOOKUP(Tabla2[[#This Row],[Artículo]],Tabla1[Artículos],Tabla1[Rubro]),"")</f>
        <v>Reventa</v>
      </c>
      <c r="E173" s="24" t="s">
        <v>155</v>
      </c>
      <c r="F173" s="25">
        <v>1500</v>
      </c>
      <c r="G173" s="24" t="s">
        <v>25</v>
      </c>
      <c r="H173" s="26">
        <v>450</v>
      </c>
      <c r="I173" s="27">
        <f>Tabla2[[#This Row],[Precio Unitario ARS]]/Tabla2[[#This Row],[TC BNA]]</f>
        <v>0.29801324503311261</v>
      </c>
      <c r="J173" s="28">
        <v>0</v>
      </c>
      <c r="K173" s="24" t="s">
        <v>19</v>
      </c>
      <c r="L173" s="29">
        <v>0.21</v>
      </c>
      <c r="M173" s="30">
        <f>(Tabla2[[#This Row],[Precio Unitario ARS]]-(Tabla2[[#This Row],[Precio Unitario ARS]]*Tabla2[[#This Row],[DTO]]))*Tabla2[[#This Row],[Cantidad]]</f>
        <v>675000</v>
      </c>
      <c r="N173" s="31">
        <f>Tabla2[[#This Row],[Subtotal ARS]]+(Tabla2[[#This Row],[Subtotal ARS]]*Tabla2[[#This Row],[IVA]])</f>
        <v>816750</v>
      </c>
      <c r="O173" s="31">
        <f>Tabla2[[#This Row],[TOTAL ARS]]/Tabla2[[#This Row],[TC BNA]]</f>
        <v>540.89403973509934</v>
      </c>
      <c r="P173" s="21">
        <f>_xlfn.XLOOKUP(A173,'TC_BNA xlsx'!A:A,'TC_BNA xlsx'!C:C,"No encontrado")</f>
        <v>1510</v>
      </c>
      <c r="Q173" s="23"/>
    </row>
    <row r="174" spans="1:17" x14ac:dyDescent="0.25">
      <c r="A174" s="20">
        <v>46206</v>
      </c>
      <c r="B174" s="21">
        <f>MONTH(Tabla2[[#This Row],[Fecha]])</f>
        <v>7</v>
      </c>
      <c r="C174" s="22" t="s">
        <v>94</v>
      </c>
      <c r="D174" s="23" t="str">
        <f>IFERROR(_xlfn.XLOOKUP(Tabla2[[#This Row],[Artículo]],Tabla1[Artículos],Tabla1[Rubro]),"")</f>
        <v>Soldadura</v>
      </c>
      <c r="E174" s="24" t="s">
        <v>121</v>
      </c>
      <c r="F174" s="25">
        <v>40</v>
      </c>
      <c r="G174" s="24" t="s">
        <v>156</v>
      </c>
      <c r="H174" s="26">
        <v>4500</v>
      </c>
      <c r="I174" s="27">
        <f>Tabla2[[#This Row],[Precio Unitario ARS]]/Tabla2[[#This Row],[TC BNA]]</f>
        <v>2.9801324503311259</v>
      </c>
      <c r="J174" s="28">
        <v>0</v>
      </c>
      <c r="K174" s="24" t="s">
        <v>19</v>
      </c>
      <c r="L174" s="29"/>
      <c r="M174" s="30">
        <f>(Tabla2[[#This Row],[Precio Unitario ARS]]-(Tabla2[[#This Row],[Precio Unitario ARS]]*Tabla2[[#This Row],[DTO]]))*Tabla2[[#This Row],[Cantidad]]</f>
        <v>180000</v>
      </c>
      <c r="N174" s="31">
        <f>Tabla2[[#This Row],[Subtotal ARS]]+(Tabla2[[#This Row],[Subtotal ARS]]*Tabla2[[#This Row],[IVA]])</f>
        <v>180000</v>
      </c>
      <c r="O174" s="31">
        <f>Tabla2[[#This Row],[TOTAL ARS]]/Tabla2[[#This Row],[TC BNA]]</f>
        <v>119.20529801324503</v>
      </c>
      <c r="P174" s="21">
        <f>_xlfn.XLOOKUP(A174,'TC_BNA xlsx'!A:A,'TC_BNA xlsx'!C:C,"No encontrado")</f>
        <v>1510</v>
      </c>
      <c r="Q174" s="23" t="s">
        <v>157</v>
      </c>
    </row>
    <row r="175" spans="1:17" x14ac:dyDescent="0.25">
      <c r="A175" s="20">
        <v>46206</v>
      </c>
      <c r="B175" s="21">
        <f>MONTH(Tabla2[[#This Row],[Fecha]])</f>
        <v>7</v>
      </c>
      <c r="C175" s="22" t="s">
        <v>89</v>
      </c>
      <c r="D175" s="23" t="str">
        <f>IFERROR(_xlfn.XLOOKUP(Tabla2[[#This Row],[Artículo]],Tabla1[Artículos],Tabla1[Rubro]),"")</f>
        <v>Embalaje</v>
      </c>
      <c r="E175" s="24" t="s">
        <v>124</v>
      </c>
      <c r="F175" s="25">
        <v>278</v>
      </c>
      <c r="G175" s="24" t="s">
        <v>150</v>
      </c>
      <c r="H175" s="26">
        <v>4832</v>
      </c>
      <c r="I175" s="27">
        <f>Tabla2[[#This Row],[Precio Unitario ARS]]/Tabla2[[#This Row],[TC BNA]]</f>
        <v>3.2</v>
      </c>
      <c r="J175" s="28">
        <v>0</v>
      </c>
      <c r="K175" s="24" t="s">
        <v>19</v>
      </c>
      <c r="L175" s="29">
        <v>0.21</v>
      </c>
      <c r="M175" s="30">
        <f>(Tabla2[[#This Row],[Precio Unitario ARS]]-(Tabla2[[#This Row],[Precio Unitario ARS]]*Tabla2[[#This Row],[DTO]]))*Tabla2[[#This Row],[Cantidad]]</f>
        <v>1343296</v>
      </c>
      <c r="N175" s="31">
        <f>Tabla2[[#This Row],[Subtotal ARS]]+(Tabla2[[#This Row],[Subtotal ARS]]*Tabla2[[#This Row],[IVA]])</f>
        <v>1625388.16</v>
      </c>
      <c r="O175" s="31">
        <f>Tabla2[[#This Row],[TOTAL ARS]]/Tabla2[[#This Row],[TC BNA]]</f>
        <v>1076.4159999999999</v>
      </c>
      <c r="P175" s="21">
        <f>_xlfn.XLOOKUP(A175,'TC_BNA xlsx'!A:A,'TC_BNA xlsx'!C:C,"No encontrado")</f>
        <v>1510</v>
      </c>
      <c r="Q175" s="23"/>
    </row>
    <row r="176" spans="1:17" x14ac:dyDescent="0.25">
      <c r="A176" s="20">
        <v>46209</v>
      </c>
      <c r="B176" s="21">
        <f>MONTH(Tabla2[[#This Row],[Fecha]])</f>
        <v>7</v>
      </c>
      <c r="C176" s="22" t="s">
        <v>94</v>
      </c>
      <c r="D176" s="23" t="str">
        <f>IFERROR(_xlfn.XLOOKUP(Tabla2[[#This Row],[Artículo]],Tabla1[Artículos],Tabla1[Rubro]),"")</f>
        <v>Soldadura</v>
      </c>
      <c r="E176" s="24" t="s">
        <v>121</v>
      </c>
      <c r="F176" s="25">
        <v>40</v>
      </c>
      <c r="G176" s="24" t="s">
        <v>156</v>
      </c>
      <c r="H176" s="26">
        <v>4500</v>
      </c>
      <c r="I176" s="27">
        <f>Tabla2[[#This Row],[Precio Unitario ARS]]/Tabla2[[#This Row],[TC BNA]]</f>
        <v>2.9801324503311259</v>
      </c>
      <c r="J176" s="28">
        <v>0</v>
      </c>
      <c r="K176" s="24" t="s">
        <v>19</v>
      </c>
      <c r="L176" s="29"/>
      <c r="M176" s="30">
        <f>(Tabla2[[#This Row],[Precio Unitario ARS]]-(Tabla2[[#This Row],[Precio Unitario ARS]]*Tabla2[[#This Row],[DTO]]))*Tabla2[[#This Row],[Cantidad]]</f>
        <v>180000</v>
      </c>
      <c r="N176" s="31">
        <f>Tabla2[[#This Row],[Subtotal ARS]]+(Tabla2[[#This Row],[Subtotal ARS]]*Tabla2[[#This Row],[IVA]])</f>
        <v>180000</v>
      </c>
      <c r="O176" s="31">
        <f>Tabla2[[#This Row],[TOTAL ARS]]/Tabla2[[#This Row],[TC BNA]]</f>
        <v>119.20529801324503</v>
      </c>
      <c r="P176" s="21">
        <f>_xlfn.XLOOKUP(A176,'TC_BNA xlsx'!A:A,'TC_BNA xlsx'!C:C,"No encontrado")</f>
        <v>1510</v>
      </c>
      <c r="Q176" s="23" t="s">
        <v>157</v>
      </c>
    </row>
    <row r="177" spans="1:17" x14ac:dyDescent="0.25">
      <c r="A177" s="20">
        <v>46209</v>
      </c>
      <c r="B177" s="21">
        <f>MONTH(Tabla2[[#This Row],[Fecha]])</f>
        <v>7</v>
      </c>
      <c r="C177" s="22" t="s">
        <v>93</v>
      </c>
      <c r="D177" s="23" t="str">
        <f>IFERROR(_xlfn.XLOOKUP(Tabla2[[#This Row],[Artículo]],Tabla1[Artículos],Tabla1[Rubro]),"")</f>
        <v>Soldadura</v>
      </c>
      <c r="E177" s="24" t="s">
        <v>121</v>
      </c>
      <c r="F177" s="25">
        <v>10</v>
      </c>
      <c r="G177" s="24" t="s">
        <v>156</v>
      </c>
      <c r="H177" s="26">
        <v>18500</v>
      </c>
      <c r="I177" s="27">
        <f>Tabla2[[#This Row],[Precio Unitario ARS]]/Tabla2[[#This Row],[TC BNA]]</f>
        <v>12.251655629139073</v>
      </c>
      <c r="J177" s="28">
        <v>0</v>
      </c>
      <c r="K177" s="24" t="s">
        <v>19</v>
      </c>
      <c r="L177" s="29"/>
      <c r="M177" s="30">
        <f>(Tabla2[[#This Row],[Precio Unitario ARS]]-(Tabla2[[#This Row],[Precio Unitario ARS]]*Tabla2[[#This Row],[DTO]]))*Tabla2[[#This Row],[Cantidad]]</f>
        <v>185000</v>
      </c>
      <c r="N177" s="31">
        <f>Tabla2[[#This Row],[Subtotal ARS]]+(Tabla2[[#This Row],[Subtotal ARS]]*Tabla2[[#This Row],[IVA]])</f>
        <v>185000</v>
      </c>
      <c r="O177" s="31">
        <f>Tabla2[[#This Row],[TOTAL ARS]]/Tabla2[[#This Row],[TC BNA]]</f>
        <v>122.51655629139073</v>
      </c>
      <c r="P177" s="21">
        <f>_xlfn.XLOOKUP(A177,'TC_BNA xlsx'!A:A,'TC_BNA xlsx'!C:C,"No encontrado")</f>
        <v>1510</v>
      </c>
      <c r="Q177" s="23" t="s">
        <v>172</v>
      </c>
    </row>
    <row r="178" spans="1:17" x14ac:dyDescent="0.25">
      <c r="A178" s="20">
        <v>46209</v>
      </c>
      <c r="B178" s="21">
        <f>MONTH(Tabla2[[#This Row],[Fecha]])</f>
        <v>7</v>
      </c>
      <c r="C178" s="22" t="s">
        <v>173</v>
      </c>
      <c r="D178" s="23" t="str">
        <f>IFERROR(_xlfn.XLOOKUP(Tabla2[[#This Row],[Artículo]],Tabla1[Artículos],Tabla1[Rubro]),"")</f>
        <v>Servicio</v>
      </c>
      <c r="E178" s="24" t="s">
        <v>175</v>
      </c>
      <c r="F178" s="25">
        <v>792</v>
      </c>
      <c r="G178" s="24" t="s">
        <v>25</v>
      </c>
      <c r="H178" s="26">
        <v>398</v>
      </c>
      <c r="I178" s="27">
        <f>Tabla2[[#This Row],[Precio Unitario ARS]]/Tabla2[[#This Row],[TC BNA]]</f>
        <v>0.26357615894039738</v>
      </c>
      <c r="J178" s="28">
        <v>0</v>
      </c>
      <c r="K178" s="24" t="s">
        <v>19</v>
      </c>
      <c r="L178" s="29"/>
      <c r="M178" s="30">
        <f>(Tabla2[[#This Row],[Precio Unitario ARS]]-(Tabla2[[#This Row],[Precio Unitario ARS]]*Tabla2[[#This Row],[DTO]]))*Tabla2[[#This Row],[Cantidad]]</f>
        <v>315216</v>
      </c>
      <c r="N178" s="31">
        <f>Tabla2[[#This Row],[Subtotal ARS]]+(Tabla2[[#This Row],[Subtotal ARS]]*Tabla2[[#This Row],[IVA]])</f>
        <v>315216</v>
      </c>
      <c r="O178" s="31">
        <f>Tabla2[[#This Row],[TOTAL ARS]]/Tabla2[[#This Row],[TC BNA]]</f>
        <v>208.75231788079469</v>
      </c>
      <c r="P178" s="21">
        <f>_xlfn.XLOOKUP(A178,'TC_BNA xlsx'!A:A,'TC_BNA xlsx'!C:C,"No encontrado")</f>
        <v>1510</v>
      </c>
      <c r="Q178" s="23" t="s">
        <v>176</v>
      </c>
    </row>
    <row r="179" spans="1:17" x14ac:dyDescent="0.25">
      <c r="A179" s="20">
        <v>46209</v>
      </c>
      <c r="B179" s="21">
        <f>MONTH(Tabla2[[#This Row],[Fecha]])</f>
        <v>7</v>
      </c>
      <c r="C179" s="22" t="s">
        <v>174</v>
      </c>
      <c r="D179" s="23" t="str">
        <f>IFERROR(_xlfn.XLOOKUP(Tabla2[[#This Row],[Artículo]],Tabla1[Artículos],Tabla1[Rubro]),"")</f>
        <v>Servicio</v>
      </c>
      <c r="E179" s="24" t="s">
        <v>175</v>
      </c>
      <c r="F179" s="25">
        <v>1485</v>
      </c>
      <c r="G179" s="24" t="s">
        <v>25</v>
      </c>
      <c r="H179" s="26">
        <v>420</v>
      </c>
      <c r="I179" s="27">
        <f>Tabla2[[#This Row],[Precio Unitario ARS]]/Tabla2[[#This Row],[TC BNA]]</f>
        <v>0.27814569536423839</v>
      </c>
      <c r="J179" s="28">
        <v>0</v>
      </c>
      <c r="K179" s="24" t="s">
        <v>19</v>
      </c>
      <c r="L179" s="29"/>
      <c r="M179" s="30">
        <f>(Tabla2[[#This Row],[Precio Unitario ARS]]-(Tabla2[[#This Row],[Precio Unitario ARS]]*Tabla2[[#This Row],[DTO]]))*Tabla2[[#This Row],[Cantidad]]</f>
        <v>623700</v>
      </c>
      <c r="N179" s="31">
        <f>Tabla2[[#This Row],[Subtotal ARS]]+(Tabla2[[#This Row],[Subtotal ARS]]*Tabla2[[#This Row],[IVA]])</f>
        <v>623700</v>
      </c>
      <c r="O179" s="31">
        <f>Tabla2[[#This Row],[TOTAL ARS]]/Tabla2[[#This Row],[TC BNA]]</f>
        <v>413.04635761589407</v>
      </c>
      <c r="P179" s="21">
        <f>_xlfn.XLOOKUP(A179,'TC_BNA xlsx'!A:A,'TC_BNA xlsx'!C:C,"No encontrado")</f>
        <v>1510</v>
      </c>
      <c r="Q179" s="23"/>
    </row>
    <row r="180" spans="1:17" x14ac:dyDescent="0.25">
      <c r="A180" s="32">
        <v>46209</v>
      </c>
      <c r="B180" s="21">
        <f>MONTH(Tabla2[[#This Row],[Fecha]])</f>
        <v>7</v>
      </c>
      <c r="C180" s="22" t="s">
        <v>56</v>
      </c>
      <c r="D180" s="41" t="str">
        <f>IFERROR(_xlfn.XLOOKUP(Tabla2[[#This Row],[Artículo]],Tabla1[Artículos],Tabla1[Rubro]),"")</f>
        <v>Herramientas</v>
      </c>
      <c r="E180" s="33" t="s">
        <v>115</v>
      </c>
      <c r="F180" s="34">
        <v>2</v>
      </c>
      <c r="G180" s="33" t="s">
        <v>25</v>
      </c>
      <c r="H180" s="35">
        <v>10503.75</v>
      </c>
      <c r="I180" s="36">
        <f>Tabla2[[#This Row],[Precio Unitario ARS]]/Tabla2[[#This Row],[TC BNA]]</f>
        <v>6.9561258278145699</v>
      </c>
      <c r="J180" s="28">
        <v>0</v>
      </c>
      <c r="K180" s="33" t="s">
        <v>19</v>
      </c>
      <c r="L180" s="37">
        <v>0.21</v>
      </c>
      <c r="M180" s="38">
        <f>(Tabla2[[#This Row],[Precio Unitario ARS]]-(Tabla2[[#This Row],[Precio Unitario ARS]]*Tabla2[[#This Row],[DTO]]))*Tabla2[[#This Row],[Cantidad]]</f>
        <v>21007.5</v>
      </c>
      <c r="N180" s="39">
        <f>Tabla2[[#This Row],[Subtotal ARS]]+(Tabla2[[#This Row],[Subtotal ARS]]*Tabla2[[#This Row],[IVA]])</f>
        <v>25419.075000000001</v>
      </c>
      <c r="O180" s="39">
        <f>Tabla2[[#This Row],[TOTAL ARS]]/Tabla2[[#This Row],[TC BNA]]</f>
        <v>16.833824503311259</v>
      </c>
      <c r="P180" s="40">
        <f>_xlfn.XLOOKUP(A180,'TC_BNA xlsx'!A:A,'TC_BNA xlsx'!C:C,"No encontrado")</f>
        <v>1510</v>
      </c>
      <c r="Q180" s="22"/>
    </row>
    <row r="181" spans="1:17" x14ac:dyDescent="0.25">
      <c r="A181" s="32">
        <v>46209</v>
      </c>
      <c r="B181" s="21">
        <f>MONTH(Tabla2[[#This Row],[Fecha]])</f>
        <v>7</v>
      </c>
      <c r="C181" s="22" t="s">
        <v>57</v>
      </c>
      <c r="D181" s="41" t="str">
        <f>IFERROR(_xlfn.XLOOKUP(Tabla2[[#This Row],[Artículo]],Tabla1[Artículos],Tabla1[Rubro]),"")</f>
        <v>Herramientas</v>
      </c>
      <c r="E181" s="33" t="s">
        <v>115</v>
      </c>
      <c r="F181" s="34">
        <v>4</v>
      </c>
      <c r="G181" s="33" t="s">
        <v>25</v>
      </c>
      <c r="H181" s="35">
        <v>16153.27</v>
      </c>
      <c r="I181" s="36">
        <f>Tabla2[[#This Row],[Precio Unitario ARS]]/Tabla2[[#This Row],[TC BNA]]</f>
        <v>10.697529801324503</v>
      </c>
      <c r="J181" s="28">
        <v>0</v>
      </c>
      <c r="K181" s="33" t="s">
        <v>19</v>
      </c>
      <c r="L181" s="37">
        <v>0.21</v>
      </c>
      <c r="M181" s="38">
        <f>(Tabla2[[#This Row],[Precio Unitario ARS]]-(Tabla2[[#This Row],[Precio Unitario ARS]]*Tabla2[[#This Row],[DTO]]))*Tabla2[[#This Row],[Cantidad]]</f>
        <v>64613.08</v>
      </c>
      <c r="N181" s="39">
        <f>Tabla2[[#This Row],[Subtotal ARS]]+(Tabla2[[#This Row],[Subtotal ARS]]*Tabla2[[#This Row],[IVA]])</f>
        <v>78181.826799999995</v>
      </c>
      <c r="O181" s="39">
        <f>Tabla2[[#This Row],[TOTAL ARS]]/Tabla2[[#This Row],[TC BNA]]</f>
        <v>51.776044238410591</v>
      </c>
      <c r="P181" s="40">
        <f>_xlfn.XLOOKUP(A181,'TC_BNA xlsx'!A:A,'TC_BNA xlsx'!C:C,"No encontrado")</f>
        <v>1510</v>
      </c>
      <c r="Q181" s="22"/>
    </row>
    <row r="182" spans="1:17" x14ac:dyDescent="0.25">
      <c r="A182" s="32">
        <v>46209</v>
      </c>
      <c r="B182" s="21">
        <f>MONTH(Tabla2[[#This Row],[Fecha]])</f>
        <v>7</v>
      </c>
      <c r="C182" s="22" t="s">
        <v>58</v>
      </c>
      <c r="D182" s="41" t="str">
        <f>IFERROR(_xlfn.XLOOKUP(Tabla2[[#This Row],[Artículo]],Tabla1[Artículos],Tabla1[Rubro]),"")</f>
        <v>Herramientas</v>
      </c>
      <c r="E182" s="33" t="s">
        <v>115</v>
      </c>
      <c r="F182" s="34">
        <v>1</v>
      </c>
      <c r="G182" s="33" t="s">
        <v>25</v>
      </c>
      <c r="H182" s="35">
        <v>32098.51</v>
      </c>
      <c r="I182" s="36">
        <f>Tabla2[[#This Row],[Precio Unitario ARS]]/Tabla2[[#This Row],[TC BNA]]</f>
        <v>21.257291390728476</v>
      </c>
      <c r="J182" s="28">
        <v>0</v>
      </c>
      <c r="K182" s="33" t="s">
        <v>19</v>
      </c>
      <c r="L182" s="37">
        <v>0.21</v>
      </c>
      <c r="M182" s="38">
        <f>(Tabla2[[#This Row],[Precio Unitario ARS]]-(Tabla2[[#This Row],[Precio Unitario ARS]]*Tabla2[[#This Row],[DTO]]))*Tabla2[[#This Row],[Cantidad]]</f>
        <v>32098.51</v>
      </c>
      <c r="N182" s="39">
        <f>Tabla2[[#This Row],[Subtotal ARS]]+(Tabla2[[#This Row],[Subtotal ARS]]*Tabla2[[#This Row],[IVA]])</f>
        <v>38839.197099999998</v>
      </c>
      <c r="O182" s="39">
        <f>Tabla2[[#This Row],[TOTAL ARS]]/Tabla2[[#This Row],[TC BNA]]</f>
        <v>25.721322582781454</v>
      </c>
      <c r="P182" s="40">
        <f>_xlfn.XLOOKUP(A182,'TC_BNA xlsx'!A:A,'TC_BNA xlsx'!C:C,"No encontrado")</f>
        <v>1510</v>
      </c>
      <c r="Q182" s="22"/>
    </row>
    <row r="183" spans="1:17" x14ac:dyDescent="0.25">
      <c r="A183" s="20">
        <v>46210</v>
      </c>
      <c r="B183" s="21">
        <f>MONTH(Tabla2[[#This Row],[Fecha]])</f>
        <v>7</v>
      </c>
      <c r="C183" s="22" t="s">
        <v>181</v>
      </c>
      <c r="D183" s="23" t="str">
        <f>IFERROR(_xlfn.XLOOKUP(Tabla2[[#This Row],[Artículo]],Tabla1[Artículos],Tabla1[Rubro]),"")</f>
        <v>EPP</v>
      </c>
      <c r="E183" s="24" t="s">
        <v>22</v>
      </c>
      <c r="F183" s="25">
        <v>9</v>
      </c>
      <c r="G183" s="24" t="s">
        <v>25</v>
      </c>
      <c r="H183" s="26">
        <v>32531</v>
      </c>
      <c r="I183" s="27">
        <f>Tabla2[[#This Row],[Precio Unitario ARS]]/Tabla2[[#This Row],[TC BNA]]</f>
        <v>21.472607260726072</v>
      </c>
      <c r="J183" s="28">
        <v>0</v>
      </c>
      <c r="K183" s="24" t="s">
        <v>19</v>
      </c>
      <c r="L183" s="29">
        <v>0.21</v>
      </c>
      <c r="M183" s="30">
        <f>(Tabla2[[#This Row],[Precio Unitario ARS]]-(Tabla2[[#This Row],[Precio Unitario ARS]]*Tabla2[[#This Row],[DTO]]))*Tabla2[[#This Row],[Cantidad]]</f>
        <v>292779</v>
      </c>
      <c r="N183" s="31">
        <f>Tabla2[[#This Row],[Subtotal ARS]]+(Tabla2[[#This Row],[Subtotal ARS]]*Tabla2[[#This Row],[IVA]])</f>
        <v>354262.58999999997</v>
      </c>
      <c r="O183" s="31">
        <f>Tabla2[[#This Row],[TOTAL ARS]]/Tabla2[[#This Row],[TC BNA]]</f>
        <v>233.8366930693069</v>
      </c>
      <c r="P183" s="21">
        <f>_xlfn.XLOOKUP(A183,'TC_BNA xlsx'!A:A,'TC_BNA xlsx'!C:C,"No encontrado")</f>
        <v>1515</v>
      </c>
      <c r="Q183" s="23"/>
    </row>
    <row r="184" spans="1:17" x14ac:dyDescent="0.25">
      <c r="A184" s="20">
        <v>46210</v>
      </c>
      <c r="B184" s="21">
        <f>MONTH(Tabla2[[#This Row],[Fecha]])</f>
        <v>7</v>
      </c>
      <c r="C184" s="22" t="s">
        <v>69</v>
      </c>
      <c r="D184" s="23" t="str">
        <f>IFERROR(_xlfn.XLOOKUP(Tabla2[[#This Row],[Artículo]],Tabla1[Artículos],Tabla1[Rubro]),"")</f>
        <v>EPP</v>
      </c>
      <c r="E184" s="24" t="s">
        <v>22</v>
      </c>
      <c r="F184" s="25">
        <v>4</v>
      </c>
      <c r="G184" s="24" t="s">
        <v>25</v>
      </c>
      <c r="H184" s="26">
        <v>1981</v>
      </c>
      <c r="I184" s="27">
        <f>Tabla2[[#This Row],[Precio Unitario ARS]]/Tabla2[[#This Row],[TC BNA]]</f>
        <v>1.3075907590759075</v>
      </c>
      <c r="J184" s="28">
        <v>0</v>
      </c>
      <c r="K184" s="24" t="s">
        <v>19</v>
      </c>
      <c r="L184" s="29">
        <v>0.21</v>
      </c>
      <c r="M184" s="30">
        <f>(Tabla2[[#This Row],[Precio Unitario ARS]]-(Tabla2[[#This Row],[Precio Unitario ARS]]*Tabla2[[#This Row],[DTO]]))*Tabla2[[#This Row],[Cantidad]]</f>
        <v>7924</v>
      </c>
      <c r="N184" s="31">
        <f>Tabla2[[#This Row],[Subtotal ARS]]+(Tabla2[[#This Row],[Subtotal ARS]]*Tabla2[[#This Row],[IVA]])</f>
        <v>9588.0400000000009</v>
      </c>
      <c r="O184" s="31">
        <f>Tabla2[[#This Row],[TOTAL ARS]]/Tabla2[[#This Row],[TC BNA]]</f>
        <v>6.3287392739273933</v>
      </c>
      <c r="P184" s="21">
        <f>_xlfn.XLOOKUP(A184,'TC_BNA xlsx'!A:A,'TC_BNA xlsx'!C:C,"No encontrado")</f>
        <v>1515</v>
      </c>
      <c r="Q184" s="23"/>
    </row>
    <row r="185" spans="1:17" x14ac:dyDescent="0.25">
      <c r="A185" s="20">
        <v>46210</v>
      </c>
      <c r="B185" s="21">
        <f>MONTH(Tabla2[[#This Row],[Fecha]])</f>
        <v>7</v>
      </c>
      <c r="C185" s="22" t="s">
        <v>71</v>
      </c>
      <c r="D185" s="23" t="str">
        <f>IFERROR(_xlfn.XLOOKUP(Tabla2[[#This Row],[Artículo]],Tabla1[Artículos],Tabla1[Rubro]),"")</f>
        <v>EPP</v>
      </c>
      <c r="E185" s="24" t="s">
        <v>22</v>
      </c>
      <c r="F185" s="25">
        <v>1</v>
      </c>
      <c r="G185" s="24" t="s">
        <v>25</v>
      </c>
      <c r="H185" s="26">
        <v>9950</v>
      </c>
      <c r="I185" s="27">
        <f>Tabla2[[#This Row],[Precio Unitario ARS]]/Tabla2[[#This Row],[TC BNA]]</f>
        <v>6.5676567656765679</v>
      </c>
      <c r="J185" s="28">
        <v>0</v>
      </c>
      <c r="K185" s="24" t="s">
        <v>19</v>
      </c>
      <c r="L185" s="29">
        <v>0.21</v>
      </c>
      <c r="M185" s="30">
        <f>(Tabla2[[#This Row],[Precio Unitario ARS]]-(Tabla2[[#This Row],[Precio Unitario ARS]]*Tabla2[[#This Row],[DTO]]))*Tabla2[[#This Row],[Cantidad]]</f>
        <v>9950</v>
      </c>
      <c r="N185" s="31">
        <f>Tabla2[[#This Row],[Subtotal ARS]]+(Tabla2[[#This Row],[Subtotal ARS]]*Tabla2[[#This Row],[IVA]])</f>
        <v>12039.5</v>
      </c>
      <c r="O185" s="31">
        <f>Tabla2[[#This Row],[TOTAL ARS]]/Tabla2[[#This Row],[TC BNA]]</f>
        <v>7.946864686468647</v>
      </c>
      <c r="P185" s="21">
        <f>_xlfn.XLOOKUP(A185,'TC_BNA xlsx'!A:A,'TC_BNA xlsx'!C:C,"No encontrado")</f>
        <v>1515</v>
      </c>
      <c r="Q185" s="23"/>
    </row>
    <row r="186" spans="1:17" x14ac:dyDescent="0.25">
      <c r="A186" s="20">
        <v>46210</v>
      </c>
      <c r="B186" s="21">
        <f>MONTH(Tabla2[[#This Row],[Fecha]])</f>
        <v>7</v>
      </c>
      <c r="C186" s="22" t="s">
        <v>76</v>
      </c>
      <c r="D186" s="23" t="str">
        <f>IFERROR(_xlfn.XLOOKUP(Tabla2[[#This Row],[Artículo]],Tabla1[Artículos],Tabla1[Rubro]),"")</f>
        <v>EPP</v>
      </c>
      <c r="E186" s="24" t="s">
        <v>22</v>
      </c>
      <c r="F186" s="25">
        <v>1</v>
      </c>
      <c r="G186" s="24" t="s">
        <v>23</v>
      </c>
      <c r="H186" s="26">
        <v>651.15</v>
      </c>
      <c r="I186" s="27">
        <f>Tabla2[[#This Row],[Precio Unitario ARS]]/Tabla2[[#This Row],[TC BNA]]</f>
        <v>0.4298019801980198</v>
      </c>
      <c r="J186" s="28">
        <v>0</v>
      </c>
      <c r="K186" s="24" t="s">
        <v>19</v>
      </c>
      <c r="L186" s="29">
        <v>0.21</v>
      </c>
      <c r="M186" s="30">
        <f>(Tabla2[[#This Row],[Precio Unitario ARS]]-(Tabla2[[#This Row],[Precio Unitario ARS]]*Tabla2[[#This Row],[DTO]]))*Tabla2[[#This Row],[Cantidad]]</f>
        <v>651.15</v>
      </c>
      <c r="N186" s="31">
        <f>Tabla2[[#This Row],[Subtotal ARS]]+(Tabla2[[#This Row],[Subtotal ARS]]*Tabla2[[#This Row],[IVA]])</f>
        <v>787.89149999999995</v>
      </c>
      <c r="O186" s="31">
        <f>Tabla2[[#This Row],[TOTAL ARS]]/Tabla2[[#This Row],[TC BNA]]</f>
        <v>0.52006039603960397</v>
      </c>
      <c r="P186" s="21">
        <f>_xlfn.XLOOKUP(A186,'TC_BNA xlsx'!A:A,'TC_BNA xlsx'!C:C,"No encontrado")</f>
        <v>1515</v>
      </c>
      <c r="Q186" s="23"/>
    </row>
    <row r="187" spans="1:17" x14ac:dyDescent="0.25">
      <c r="A187" s="20">
        <v>46210</v>
      </c>
      <c r="B187" s="21">
        <f>MONTH(Tabla2[[#This Row],[Fecha]])</f>
        <v>7</v>
      </c>
      <c r="C187" s="22" t="s">
        <v>77</v>
      </c>
      <c r="D187" s="23" t="str">
        <f>IFERROR(_xlfn.XLOOKUP(Tabla2[[#This Row],[Artículo]],Tabla1[Artículos],Tabla1[Rubro]),"")</f>
        <v>EPP</v>
      </c>
      <c r="E187" s="24" t="s">
        <v>22</v>
      </c>
      <c r="F187" s="25">
        <v>12</v>
      </c>
      <c r="G187" s="24" t="s">
        <v>23</v>
      </c>
      <c r="H187" s="26">
        <v>651.15</v>
      </c>
      <c r="I187" s="27">
        <f>Tabla2[[#This Row],[Precio Unitario ARS]]/Tabla2[[#This Row],[TC BNA]]</f>
        <v>0.4298019801980198</v>
      </c>
      <c r="J187" s="28">
        <v>0</v>
      </c>
      <c r="K187" s="24" t="s">
        <v>19</v>
      </c>
      <c r="L187" s="29">
        <v>0.21</v>
      </c>
      <c r="M187" s="30">
        <f>(Tabla2[[#This Row],[Precio Unitario ARS]]-(Tabla2[[#This Row],[Precio Unitario ARS]]*Tabla2[[#This Row],[DTO]]))*Tabla2[[#This Row],[Cantidad]]</f>
        <v>7813.7999999999993</v>
      </c>
      <c r="N187" s="31">
        <f>Tabla2[[#This Row],[Subtotal ARS]]+(Tabla2[[#This Row],[Subtotal ARS]]*Tabla2[[#This Row],[IVA]])</f>
        <v>9454.6979999999985</v>
      </c>
      <c r="O187" s="31">
        <f>Tabla2[[#This Row],[TOTAL ARS]]/Tabla2[[#This Row],[TC BNA]]</f>
        <v>6.2407247524752467</v>
      </c>
      <c r="P187" s="21">
        <f>_xlfn.XLOOKUP(A187,'TC_BNA xlsx'!A:A,'TC_BNA xlsx'!C:C,"No encontrado")</f>
        <v>1515</v>
      </c>
      <c r="Q187" s="23"/>
    </row>
    <row r="188" spans="1:17" x14ac:dyDescent="0.25">
      <c r="A188" s="20">
        <v>46210</v>
      </c>
      <c r="B188" s="21">
        <f>MONTH(Tabla2[[#This Row],[Fecha]])</f>
        <v>7</v>
      </c>
      <c r="C188" s="22" t="s">
        <v>75</v>
      </c>
      <c r="D188" s="23" t="str">
        <f>IFERROR(_xlfn.XLOOKUP(Tabla2[[#This Row],[Artículo]],Tabla1[Artículos],Tabla1[Rubro]),"")</f>
        <v>EPP</v>
      </c>
      <c r="E188" s="24" t="s">
        <v>22</v>
      </c>
      <c r="F188" s="25">
        <v>12</v>
      </c>
      <c r="G188" s="24" t="s">
        <v>23</v>
      </c>
      <c r="H188" s="26">
        <v>4795</v>
      </c>
      <c r="I188" s="27">
        <f>Tabla2[[#This Row],[Precio Unitario ARS]]/Tabla2[[#This Row],[TC BNA]]</f>
        <v>3.165016501650165</v>
      </c>
      <c r="J188" s="28">
        <v>0</v>
      </c>
      <c r="K188" s="24" t="s">
        <v>19</v>
      </c>
      <c r="L188" s="29">
        <v>0.21</v>
      </c>
      <c r="M188" s="30">
        <f>(Tabla2[[#This Row],[Precio Unitario ARS]]-(Tabla2[[#This Row],[Precio Unitario ARS]]*Tabla2[[#This Row],[DTO]]))*Tabla2[[#This Row],[Cantidad]]</f>
        <v>57540</v>
      </c>
      <c r="N188" s="31">
        <f>Tabla2[[#This Row],[Subtotal ARS]]+(Tabla2[[#This Row],[Subtotal ARS]]*Tabla2[[#This Row],[IVA]])</f>
        <v>69623.399999999994</v>
      </c>
      <c r="O188" s="31">
        <f>Tabla2[[#This Row],[TOTAL ARS]]/Tabla2[[#This Row],[TC BNA]]</f>
        <v>45.956039603960392</v>
      </c>
      <c r="P188" s="21">
        <f>_xlfn.XLOOKUP(A188,'TC_BNA xlsx'!A:A,'TC_BNA xlsx'!C:C,"No encontrado")</f>
        <v>1515</v>
      </c>
      <c r="Q188" s="23"/>
    </row>
    <row r="189" spans="1:17" x14ac:dyDescent="0.25">
      <c r="A189" s="20">
        <v>46210</v>
      </c>
      <c r="B189" s="21">
        <f>MONTH(Tabla2[[#This Row],[Fecha]])</f>
        <v>7</v>
      </c>
      <c r="C189" s="22" t="s">
        <v>246</v>
      </c>
      <c r="D189" s="23" t="str">
        <f>IFERROR(_xlfn.XLOOKUP(Tabla2[[#This Row],[Artículo]],Tabla1[Artículos],Tabla1[Rubro]),"")</f>
        <v>EPP</v>
      </c>
      <c r="E189" s="24" t="s">
        <v>22</v>
      </c>
      <c r="F189" s="25">
        <v>1</v>
      </c>
      <c r="G189" s="24" t="s">
        <v>23</v>
      </c>
      <c r="H189" s="26">
        <v>49509.2</v>
      </c>
      <c r="I189" s="27">
        <f>Tabla2[[#This Row],[Precio Unitario ARS]]/Tabla2[[#This Row],[TC BNA]]</f>
        <v>32.679339933993397</v>
      </c>
      <c r="J189" s="28">
        <v>0</v>
      </c>
      <c r="K189" s="24" t="s">
        <v>19</v>
      </c>
      <c r="L189" s="29">
        <v>0.21</v>
      </c>
      <c r="M189" s="30">
        <f>(Tabla2[[#This Row],[Precio Unitario ARS]]-(Tabla2[[#This Row],[Precio Unitario ARS]]*Tabla2[[#This Row],[DTO]]))*Tabla2[[#This Row],[Cantidad]]</f>
        <v>49509.2</v>
      </c>
      <c r="N189" s="31">
        <f>Tabla2[[#This Row],[Subtotal ARS]]+(Tabla2[[#This Row],[Subtotal ARS]]*Tabla2[[#This Row],[IVA]])</f>
        <v>59906.131999999998</v>
      </c>
      <c r="O189" s="31">
        <f>Tabla2[[#This Row],[TOTAL ARS]]/Tabla2[[#This Row],[TC BNA]]</f>
        <v>39.542001320132009</v>
      </c>
      <c r="P189" s="21">
        <f>_xlfn.XLOOKUP(A189,'TC_BNA xlsx'!A:A,'TC_BNA xlsx'!C:C,"No encontrado")</f>
        <v>1515</v>
      </c>
      <c r="Q189" s="23"/>
    </row>
    <row r="190" spans="1:17" x14ac:dyDescent="0.25">
      <c r="A190" s="20">
        <v>46210</v>
      </c>
      <c r="B190" s="21">
        <f>MONTH(Tabla2[[#This Row],[Fecha]])</f>
        <v>7</v>
      </c>
      <c r="C190" s="22" t="s">
        <v>69</v>
      </c>
      <c r="D190" s="23" t="str">
        <f>IFERROR(_xlfn.XLOOKUP(Tabla2[[#This Row],[Artículo]],Tabla1[Artículos],Tabla1[Rubro]),"")</f>
        <v>EPP</v>
      </c>
      <c r="E190" s="24" t="s">
        <v>22</v>
      </c>
      <c r="F190" s="25">
        <v>2</v>
      </c>
      <c r="G190" s="24" t="s">
        <v>25</v>
      </c>
      <c r="H190" s="26">
        <v>1981</v>
      </c>
      <c r="I190" s="27">
        <f>Tabla2[[#This Row],[Precio Unitario ARS]]/Tabla2[[#This Row],[TC BNA]]</f>
        <v>1.3075907590759075</v>
      </c>
      <c r="J190" s="28">
        <v>0</v>
      </c>
      <c r="K190" s="24" t="s">
        <v>19</v>
      </c>
      <c r="L190" s="29">
        <v>0.21</v>
      </c>
      <c r="M190" s="30">
        <f>(Tabla2[[#This Row],[Precio Unitario ARS]]-(Tabla2[[#This Row],[Precio Unitario ARS]]*Tabla2[[#This Row],[DTO]]))*Tabla2[[#This Row],[Cantidad]]</f>
        <v>3962</v>
      </c>
      <c r="N190" s="31">
        <f>Tabla2[[#This Row],[Subtotal ARS]]+(Tabla2[[#This Row],[Subtotal ARS]]*Tabla2[[#This Row],[IVA]])</f>
        <v>4794.0200000000004</v>
      </c>
      <c r="O190" s="31">
        <f>Tabla2[[#This Row],[TOTAL ARS]]/Tabla2[[#This Row],[TC BNA]]</f>
        <v>3.1643696369636967</v>
      </c>
      <c r="P190" s="21">
        <f>_xlfn.XLOOKUP(A190,'TC_BNA xlsx'!A:A,'TC_BNA xlsx'!C:C,"No encontrado")</f>
        <v>1515</v>
      </c>
      <c r="Q190" s="23"/>
    </row>
    <row r="191" spans="1:17" x14ac:dyDescent="0.25">
      <c r="A191" s="20">
        <v>46210</v>
      </c>
      <c r="B191" s="21">
        <f>MONTH(Tabla2[[#This Row],[Fecha]])</f>
        <v>7</v>
      </c>
      <c r="C191" s="22" t="s">
        <v>71</v>
      </c>
      <c r="D191" s="23" t="str">
        <f>IFERROR(_xlfn.XLOOKUP(Tabla2[[#This Row],[Artículo]],Tabla1[Artículos],Tabla1[Rubro]),"")</f>
        <v>EPP</v>
      </c>
      <c r="E191" s="24" t="s">
        <v>22</v>
      </c>
      <c r="F191" s="25">
        <v>2</v>
      </c>
      <c r="G191" s="24" t="s">
        <v>25</v>
      </c>
      <c r="H191" s="26">
        <v>9950</v>
      </c>
      <c r="I191" s="27">
        <f>Tabla2[[#This Row],[Precio Unitario ARS]]/Tabla2[[#This Row],[TC BNA]]</f>
        <v>6.5676567656765679</v>
      </c>
      <c r="J191" s="28">
        <v>0</v>
      </c>
      <c r="K191" s="24" t="s">
        <v>19</v>
      </c>
      <c r="L191" s="29">
        <v>0.21</v>
      </c>
      <c r="M191" s="30">
        <f>(Tabla2[[#This Row],[Precio Unitario ARS]]-(Tabla2[[#This Row],[Precio Unitario ARS]]*Tabla2[[#This Row],[DTO]]))*Tabla2[[#This Row],[Cantidad]]</f>
        <v>19900</v>
      </c>
      <c r="N191" s="31">
        <f>Tabla2[[#This Row],[Subtotal ARS]]+(Tabla2[[#This Row],[Subtotal ARS]]*Tabla2[[#This Row],[IVA]])</f>
        <v>24079</v>
      </c>
      <c r="O191" s="31">
        <f>Tabla2[[#This Row],[TOTAL ARS]]/Tabla2[[#This Row],[TC BNA]]</f>
        <v>15.893729372937294</v>
      </c>
      <c r="P191" s="21">
        <f>_xlfn.XLOOKUP(A191,'TC_BNA xlsx'!A:A,'TC_BNA xlsx'!C:C,"No encontrado")</f>
        <v>1515</v>
      </c>
      <c r="Q191" s="23"/>
    </row>
    <row r="192" spans="1:17" x14ac:dyDescent="0.25">
      <c r="A192" s="20">
        <v>46210</v>
      </c>
      <c r="B192" s="21">
        <f>MONTH(Tabla2[[#This Row],[Fecha]])</f>
        <v>7</v>
      </c>
      <c r="C192" s="22" t="s">
        <v>75</v>
      </c>
      <c r="D192" s="23" t="str">
        <f>IFERROR(_xlfn.XLOOKUP(Tabla2[[#This Row],[Artículo]],Tabla1[Artículos],Tabla1[Rubro]),"")</f>
        <v>EPP</v>
      </c>
      <c r="E192" s="24" t="s">
        <v>22</v>
      </c>
      <c r="F192" s="25">
        <v>24</v>
      </c>
      <c r="G192" s="24" t="s">
        <v>23</v>
      </c>
      <c r="H192" s="26">
        <v>4795</v>
      </c>
      <c r="I192" s="27">
        <f>Tabla2[[#This Row],[Precio Unitario ARS]]/Tabla2[[#This Row],[TC BNA]]</f>
        <v>3.165016501650165</v>
      </c>
      <c r="J192" s="28">
        <v>0</v>
      </c>
      <c r="K192" s="24" t="s">
        <v>19</v>
      </c>
      <c r="L192" s="29">
        <v>0.21</v>
      </c>
      <c r="M192" s="30">
        <f>(Tabla2[[#This Row],[Precio Unitario ARS]]-(Tabla2[[#This Row],[Precio Unitario ARS]]*Tabla2[[#This Row],[DTO]]))*Tabla2[[#This Row],[Cantidad]]</f>
        <v>115080</v>
      </c>
      <c r="N192" s="31">
        <f>Tabla2[[#This Row],[Subtotal ARS]]+(Tabla2[[#This Row],[Subtotal ARS]]*Tabla2[[#This Row],[IVA]])</f>
        <v>139246.79999999999</v>
      </c>
      <c r="O192" s="31">
        <f>Tabla2[[#This Row],[TOTAL ARS]]/Tabla2[[#This Row],[TC BNA]]</f>
        <v>91.912079207920783</v>
      </c>
      <c r="P192" s="21">
        <f>_xlfn.XLOOKUP(A192,'TC_BNA xlsx'!A:A,'TC_BNA xlsx'!C:C,"No encontrado")</f>
        <v>1515</v>
      </c>
      <c r="Q192" s="23"/>
    </row>
    <row r="193" spans="1:17" x14ac:dyDescent="0.25">
      <c r="A193" s="32">
        <v>46210</v>
      </c>
      <c r="B193" s="21">
        <f>MONTH(Tabla2[[#This Row],[Fecha]])</f>
        <v>7</v>
      </c>
      <c r="C193" s="22" t="s">
        <v>312</v>
      </c>
      <c r="D193" s="41" t="str">
        <f>IFERROR(_xlfn.XLOOKUP(Tabla2[[#This Row],[Artículo]],Tabla1[Artículos],Tabla1[Rubro]),"")</f>
        <v>Herramientas</v>
      </c>
      <c r="E193" s="33" t="s">
        <v>118</v>
      </c>
      <c r="F193" s="34">
        <v>1</v>
      </c>
      <c r="G193" s="33" t="s">
        <v>25</v>
      </c>
      <c r="H193" s="35">
        <v>28000</v>
      </c>
      <c r="I193" s="36">
        <f>Tabla2[[#This Row],[Precio Unitario ARS]]/Tabla2[[#This Row],[TC BNA]]</f>
        <v>18.481848184818482</v>
      </c>
      <c r="J193" s="28">
        <v>0.1</v>
      </c>
      <c r="K193" s="33" t="s">
        <v>19</v>
      </c>
      <c r="L193" s="37">
        <v>0.21</v>
      </c>
      <c r="M193" s="38">
        <f>(Tabla2[[#This Row],[Precio Unitario ARS]]-(Tabla2[[#This Row],[Precio Unitario ARS]]*Tabla2[[#This Row],[DTO]]))*Tabla2[[#This Row],[Cantidad]]</f>
        <v>25200</v>
      </c>
      <c r="N193" s="39">
        <f>Tabla2[[#This Row],[Subtotal ARS]]+(Tabla2[[#This Row],[Subtotal ARS]]*Tabla2[[#This Row],[IVA]])</f>
        <v>30492</v>
      </c>
      <c r="O193" s="39">
        <f>Tabla2[[#This Row],[TOTAL ARS]]/Tabla2[[#This Row],[TC BNA]]</f>
        <v>20.126732673267327</v>
      </c>
      <c r="P193" s="40">
        <f>_xlfn.XLOOKUP(A193,'TC_BNA xlsx'!A:A,'TC_BNA xlsx'!C:C,"No encontrado")</f>
        <v>1515</v>
      </c>
      <c r="Q193" s="22"/>
    </row>
    <row r="194" spans="1:17" x14ac:dyDescent="0.25">
      <c r="A194" s="32">
        <v>46210</v>
      </c>
      <c r="B194" s="21">
        <f>MONTH(Tabla2[[#This Row],[Fecha]])</f>
        <v>7</v>
      </c>
      <c r="C194" s="22" t="s">
        <v>103</v>
      </c>
      <c r="D194" s="41" t="str">
        <f>IFERROR(_xlfn.XLOOKUP(Tabla2[[#This Row],[Artículo]],Tabla1[Artículos],Tabla1[Rubro]),"")</f>
        <v>Embalaje</v>
      </c>
      <c r="E194" s="33" t="s">
        <v>130</v>
      </c>
      <c r="F194" s="34">
        <v>1000</v>
      </c>
      <c r="G194" s="24" t="s">
        <v>25</v>
      </c>
      <c r="H194" s="35">
        <v>765</v>
      </c>
      <c r="I194" s="36">
        <f>Tabla2[[#This Row],[Precio Unitario ARS]]/Tabla2[[#This Row],[TC BNA]]</f>
        <v>0.50495049504950495</v>
      </c>
      <c r="J194" s="28">
        <v>0</v>
      </c>
      <c r="K194" s="24" t="s">
        <v>19</v>
      </c>
      <c r="L194" s="29">
        <v>0.21</v>
      </c>
      <c r="M194" s="38">
        <f>(Tabla2[[#This Row],[Precio Unitario ARS]]-(Tabla2[[#This Row],[Precio Unitario ARS]]*Tabla2[[#This Row],[DTO]]))*Tabla2[[#This Row],[Cantidad]]</f>
        <v>765000</v>
      </c>
      <c r="N194" s="39">
        <f>Tabla2[[#This Row],[Subtotal ARS]]+(Tabla2[[#This Row],[Subtotal ARS]]*Tabla2[[#This Row],[IVA]])</f>
        <v>925650</v>
      </c>
      <c r="O194" s="39">
        <f>Tabla2[[#This Row],[TOTAL ARS]]/Tabla2[[#This Row],[TC BNA]]</f>
        <v>610.99009900990097</v>
      </c>
      <c r="P194" s="40">
        <f>_xlfn.XLOOKUP(A194,'TC_BNA xlsx'!A:A,'TC_BNA xlsx'!C:C,"No encontrado")</f>
        <v>1515</v>
      </c>
      <c r="Q194" s="22"/>
    </row>
    <row r="195" spans="1:17" x14ac:dyDescent="0.25">
      <c r="A195" s="20">
        <v>46211</v>
      </c>
      <c r="B195" s="21">
        <f>MONTH(Tabla2[[#This Row],[Fecha]])</f>
        <v>7</v>
      </c>
      <c r="C195" s="22" t="s">
        <v>105</v>
      </c>
      <c r="D195" s="23" t="str">
        <f>IFERROR(_xlfn.XLOOKUP(Tabla2[[#This Row],[Artículo]],Tabla1[Artículos],Tabla1[Rubro]),"")</f>
        <v>Embalaje</v>
      </c>
      <c r="E195" s="24" t="s">
        <v>24</v>
      </c>
      <c r="F195" s="25">
        <v>300</v>
      </c>
      <c r="G195" s="24" t="s">
        <v>25</v>
      </c>
      <c r="H195" s="26">
        <v>1209.3802000000001</v>
      </c>
      <c r="I195" s="27">
        <f>Tabla2[[#This Row],[Precio Unitario ARS]]/Tabla2[[#This Row],[TC BNA]]</f>
        <v>0.80091403973509934</v>
      </c>
      <c r="J195" s="28">
        <v>0.1</v>
      </c>
      <c r="K195" s="24" t="s">
        <v>19</v>
      </c>
      <c r="L195" s="29">
        <v>0.21</v>
      </c>
      <c r="M195" s="30">
        <f>(Tabla2[[#This Row],[Precio Unitario ARS]]-(Tabla2[[#This Row],[Precio Unitario ARS]]*Tabla2[[#This Row],[DTO]]))*Tabla2[[#This Row],[Cantidad]]</f>
        <v>326532.65399999998</v>
      </c>
      <c r="N195" s="31">
        <f>Tabla2[[#This Row],[Subtotal ARS]]+(Tabla2[[#This Row],[Subtotal ARS]]*Tabla2[[#This Row],[IVA]])</f>
        <v>395104.51133999997</v>
      </c>
      <c r="O195" s="31">
        <f>Tabla2[[#This Row],[TOTAL ARS]]/Tabla2[[#This Row],[TC BNA]]</f>
        <v>261.65861678145694</v>
      </c>
      <c r="P195" s="21">
        <f>_xlfn.XLOOKUP(A195,'TC_BNA xlsx'!A:A,'TC_BNA xlsx'!C:C,"No encontrado")</f>
        <v>1510</v>
      </c>
      <c r="Q195" s="23"/>
    </row>
    <row r="196" spans="1:17" x14ac:dyDescent="0.25">
      <c r="A196" s="32">
        <v>46212</v>
      </c>
      <c r="B196" s="21">
        <f>MONTH(Tabla2[[#This Row],[Fecha]])</f>
        <v>7</v>
      </c>
      <c r="C196" s="22" t="s">
        <v>158</v>
      </c>
      <c r="D196" s="41" t="str">
        <f>IFERROR(_xlfn.XLOOKUP(Tabla2[[#This Row],[Artículo]],Tabla1[Artículos],Tabla1[Rubro]),"")</f>
        <v>Librería</v>
      </c>
      <c r="E196" s="33" t="s">
        <v>160</v>
      </c>
      <c r="F196" s="34">
        <v>10</v>
      </c>
      <c r="G196" s="33" t="s">
        <v>25</v>
      </c>
      <c r="H196" s="35">
        <v>5900</v>
      </c>
      <c r="I196" s="36">
        <f>Tabla2[[#This Row],[Precio Unitario ARS]]/Tabla2[[#This Row],[TC BNA]]</f>
        <v>3.9072847682119205</v>
      </c>
      <c r="J196" s="28">
        <v>0</v>
      </c>
      <c r="K196" s="33" t="s">
        <v>19</v>
      </c>
      <c r="L196" s="37">
        <v>0.21</v>
      </c>
      <c r="M196" s="38">
        <f>(Tabla2[[#This Row],[Precio Unitario ARS]]-(Tabla2[[#This Row],[Precio Unitario ARS]]*Tabla2[[#This Row],[DTO]]))*Tabla2[[#This Row],[Cantidad]]</f>
        <v>59000</v>
      </c>
      <c r="N196" s="39">
        <f>Tabla2[[#This Row],[Subtotal ARS]]+(Tabla2[[#This Row],[Subtotal ARS]]*Tabla2[[#This Row],[IVA]])</f>
        <v>71390</v>
      </c>
      <c r="O196" s="39">
        <f>Tabla2[[#This Row],[TOTAL ARS]]/Tabla2[[#This Row],[TC BNA]]</f>
        <v>47.278145695364238</v>
      </c>
      <c r="P196" s="40">
        <f>_xlfn.XLOOKUP(A196,'TC_BNA xlsx'!A:A,'TC_BNA xlsx'!C:C,"No encontrado")</f>
        <v>1510</v>
      </c>
      <c r="Q196" s="22"/>
    </row>
    <row r="197" spans="1:17" x14ac:dyDescent="0.25">
      <c r="A197" s="32">
        <v>46212</v>
      </c>
      <c r="B197" s="21">
        <f>MONTH(Tabla2[[#This Row],[Fecha]])</f>
        <v>7</v>
      </c>
      <c r="C197" s="22" t="s">
        <v>159</v>
      </c>
      <c r="D197" s="41" t="str">
        <f>IFERROR(_xlfn.XLOOKUP(Tabla2[[#This Row],[Artículo]],Tabla1[Artículos],Tabla1[Rubro]),"")</f>
        <v>Librería</v>
      </c>
      <c r="E197" s="33" t="s">
        <v>160</v>
      </c>
      <c r="F197" s="34">
        <v>4</v>
      </c>
      <c r="G197" s="33" t="s">
        <v>25</v>
      </c>
      <c r="H197" s="35">
        <v>16720</v>
      </c>
      <c r="I197" s="36">
        <f>Tabla2[[#This Row],[Precio Unitario ARS]]/Tabla2[[#This Row],[TC BNA]]</f>
        <v>11.072847682119205</v>
      </c>
      <c r="J197" s="28">
        <v>0.15</v>
      </c>
      <c r="K197" s="33" t="s">
        <v>19</v>
      </c>
      <c r="L197" s="37">
        <v>0.21</v>
      </c>
      <c r="M197" s="38">
        <f>(Tabla2[[#This Row],[Precio Unitario ARS]]-(Tabla2[[#This Row],[Precio Unitario ARS]]*Tabla2[[#This Row],[DTO]]))*Tabla2[[#This Row],[Cantidad]]</f>
        <v>56848</v>
      </c>
      <c r="N197" s="39">
        <f>Tabla2[[#This Row],[Subtotal ARS]]+(Tabla2[[#This Row],[Subtotal ARS]]*Tabla2[[#This Row],[IVA]])</f>
        <v>68786.080000000002</v>
      </c>
      <c r="O197" s="39">
        <f>Tabla2[[#This Row],[TOTAL ARS]]/Tabla2[[#This Row],[TC BNA]]</f>
        <v>45.553695364238415</v>
      </c>
      <c r="P197" s="40">
        <f>_xlfn.XLOOKUP(A197,'TC_BNA xlsx'!A:A,'TC_BNA xlsx'!C:C,"No encontrado")</f>
        <v>1510</v>
      </c>
      <c r="Q197" s="22"/>
    </row>
    <row r="198" spans="1:17" x14ac:dyDescent="0.25">
      <c r="A198" s="20">
        <v>46217</v>
      </c>
      <c r="B198" s="21">
        <f>MONTH(Tabla2[[#This Row],[Fecha]])</f>
        <v>7</v>
      </c>
      <c r="C198" s="22" t="s">
        <v>105</v>
      </c>
      <c r="D198" s="23" t="str">
        <f>IFERROR(_xlfn.XLOOKUP(Tabla2[[#This Row],[Artículo]],Tabla1[Artículos],Tabla1[Rubro]),"")</f>
        <v>Embalaje</v>
      </c>
      <c r="E198" s="24" t="s">
        <v>24</v>
      </c>
      <c r="F198" s="25">
        <v>300</v>
      </c>
      <c r="G198" s="24" t="s">
        <v>25</v>
      </c>
      <c r="H198" s="26">
        <v>1209.380165</v>
      </c>
      <c r="I198" s="27">
        <f>Tabla2[[#This Row],[Precio Unitario ARS]]/Tabla2[[#This Row],[TC BNA]]</f>
        <v>0.80894994314381274</v>
      </c>
      <c r="J198" s="28">
        <v>0.1</v>
      </c>
      <c r="K198" s="24" t="s">
        <v>19</v>
      </c>
      <c r="L198" s="29">
        <v>0.21</v>
      </c>
      <c r="M198" s="30">
        <f>(Tabla2[[#This Row],[Precio Unitario ARS]]-(Tabla2[[#This Row],[Precio Unitario ARS]]*Tabla2[[#This Row],[DTO]]))*Tabla2[[#This Row],[Cantidad]]</f>
        <v>326532.64455000003</v>
      </c>
      <c r="N198" s="31">
        <f>Tabla2[[#This Row],[Subtotal ARS]]+(Tabla2[[#This Row],[Subtotal ARS]]*Tabla2[[#This Row],[IVA]])</f>
        <v>395104.49990550004</v>
      </c>
      <c r="O198" s="31">
        <f>Tabla2[[#This Row],[TOTAL ARS]]/Tabla2[[#This Row],[TC BNA]]</f>
        <v>264.28394642508363</v>
      </c>
      <c r="P198" s="21">
        <f>_xlfn.XLOOKUP(A198,'TC_BNA xlsx'!A:A,'TC_BNA xlsx'!C:C,"No encontrado")</f>
        <v>1495</v>
      </c>
      <c r="Q198" s="23"/>
    </row>
    <row r="199" spans="1:17" x14ac:dyDescent="0.25">
      <c r="A199" s="20">
        <v>46217</v>
      </c>
      <c r="B199" s="21">
        <f>MONTH(Tabla2[[#This Row],[Fecha]])</f>
        <v>7</v>
      </c>
      <c r="C199" s="22" t="s">
        <v>55</v>
      </c>
      <c r="D199" s="23" t="str">
        <f>IFERROR(_xlfn.XLOOKUP(Tabla2[[#This Row],[Artículo]],Tabla1[Artículos],Tabla1[Rubro]),"")</f>
        <v>Embalaje</v>
      </c>
      <c r="E199" s="24" t="s">
        <v>16</v>
      </c>
      <c r="F199" s="25">
        <v>5</v>
      </c>
      <c r="G199" s="24" t="s">
        <v>17</v>
      </c>
      <c r="H199" s="26">
        <v>6169.95</v>
      </c>
      <c r="I199" s="27">
        <f>Tabla2[[#This Row],[Precio Unitario ARS]]/Tabla2[[#This Row],[TC BNA]]</f>
        <v>4.1270568561872905</v>
      </c>
      <c r="J199" s="28">
        <v>0.4</v>
      </c>
      <c r="K199" s="24" t="s">
        <v>19</v>
      </c>
      <c r="L199" s="29">
        <v>0.21</v>
      </c>
      <c r="M199" s="30">
        <f>(Tabla2[[#This Row],[Precio Unitario ARS]]-(Tabla2[[#This Row],[Precio Unitario ARS]]*Tabla2[[#This Row],[DTO]]))*Tabla2[[#This Row],[Cantidad]]</f>
        <v>18509.849999999999</v>
      </c>
      <c r="N199" s="31">
        <f>Tabla2[[#This Row],[Subtotal ARS]]+(Tabla2[[#This Row],[Subtotal ARS]]*Tabla2[[#This Row],[IVA]])</f>
        <v>22396.9185</v>
      </c>
      <c r="O199" s="31">
        <f>Tabla2[[#This Row],[TOTAL ARS]]/Tabla2[[#This Row],[TC BNA]]</f>
        <v>14.981216387959867</v>
      </c>
      <c r="P199" s="21">
        <f>_xlfn.XLOOKUP(A199,'TC_BNA xlsx'!A:A,'TC_BNA xlsx'!C:C,"No encontrado")</f>
        <v>1495</v>
      </c>
      <c r="Q199" s="23"/>
    </row>
    <row r="200" spans="1:17" x14ac:dyDescent="0.25">
      <c r="A200" s="20">
        <v>46217</v>
      </c>
      <c r="B200" s="21">
        <f>MONTH(Tabla2[[#This Row],[Fecha]])</f>
        <v>7</v>
      </c>
      <c r="C200" s="22" t="s">
        <v>54</v>
      </c>
      <c r="D200" s="23" t="str">
        <f>IFERROR(_xlfn.XLOOKUP(Tabla2[[#This Row],[Artículo]],Tabla1[Artículos],Tabla1[Rubro]),"")</f>
        <v>Embalaje</v>
      </c>
      <c r="E200" s="24" t="s">
        <v>16</v>
      </c>
      <c r="F200" s="25">
        <v>20</v>
      </c>
      <c r="G200" s="24" t="s">
        <v>17</v>
      </c>
      <c r="H200" s="26">
        <v>22056.94</v>
      </c>
      <c r="I200" s="27">
        <f>Tabla2[[#This Row],[Precio Unitario ARS]]/Tabla2[[#This Row],[TC BNA]]</f>
        <v>14.753806020066889</v>
      </c>
      <c r="J200" s="28">
        <v>0.4</v>
      </c>
      <c r="K200" s="24" t="s">
        <v>19</v>
      </c>
      <c r="L200" s="29">
        <v>0.21</v>
      </c>
      <c r="M200" s="30">
        <f>(Tabla2[[#This Row],[Precio Unitario ARS]]-(Tabla2[[#This Row],[Precio Unitario ARS]]*Tabla2[[#This Row],[DTO]]))*Tabla2[[#This Row],[Cantidad]]</f>
        <v>264683.27999999997</v>
      </c>
      <c r="N200" s="31">
        <f>Tabla2[[#This Row],[Subtotal ARS]]+(Tabla2[[#This Row],[Subtotal ARS]]*Tabla2[[#This Row],[IVA]])</f>
        <v>320266.76879999996</v>
      </c>
      <c r="O200" s="31">
        <f>Tabla2[[#This Row],[TOTAL ARS]]/Tabla2[[#This Row],[TC BNA]]</f>
        <v>214.2252634113712</v>
      </c>
      <c r="P200" s="21">
        <f>_xlfn.XLOOKUP(A200,'TC_BNA xlsx'!A:A,'TC_BNA xlsx'!C:C,"No encontrado")</f>
        <v>1495</v>
      </c>
      <c r="Q200" s="23"/>
    </row>
    <row r="201" spans="1:17" x14ac:dyDescent="0.25">
      <c r="A201" s="32">
        <v>46217</v>
      </c>
      <c r="B201" s="21">
        <f>MONTH(Tabla2[[#This Row],[Fecha]])</f>
        <v>7</v>
      </c>
      <c r="C201" s="22" t="s">
        <v>100</v>
      </c>
      <c r="D201" s="41" t="str">
        <f>IFERROR(_xlfn.XLOOKUP(Tabla2[[#This Row],[Artículo]],Tabla1[Artículos],Tabla1[Rubro]),"")</f>
        <v>Embalaje</v>
      </c>
      <c r="E201" s="33" t="s">
        <v>128</v>
      </c>
      <c r="F201" s="34">
        <v>9</v>
      </c>
      <c r="G201" s="33" t="s">
        <v>150</v>
      </c>
      <c r="H201" s="35">
        <v>7620</v>
      </c>
      <c r="I201" s="36">
        <f>Tabla2[[#This Row],[Precio Unitario ARS]]/Tabla2[[#This Row],[TC BNA]]</f>
        <v>5.0969899665551841</v>
      </c>
      <c r="J201" s="28">
        <v>0</v>
      </c>
      <c r="K201" s="33" t="s">
        <v>19</v>
      </c>
      <c r="L201" s="37">
        <v>0.21</v>
      </c>
      <c r="M201" s="38">
        <f>(Tabla2[[#This Row],[Precio Unitario ARS]]-(Tabla2[[#This Row],[Precio Unitario ARS]]*Tabla2[[#This Row],[DTO]]))*Tabla2[[#This Row],[Cantidad]]</f>
        <v>68580</v>
      </c>
      <c r="N201" s="39">
        <f>Tabla2[[#This Row],[Subtotal ARS]]+(Tabla2[[#This Row],[Subtotal ARS]]*Tabla2[[#This Row],[IVA]])</f>
        <v>82981.8</v>
      </c>
      <c r="O201" s="39">
        <f>Tabla2[[#This Row],[TOTAL ARS]]/Tabla2[[#This Row],[TC BNA]]</f>
        <v>55.506220735785952</v>
      </c>
      <c r="P201" s="40">
        <f>_xlfn.XLOOKUP(A201,'TC_BNA xlsx'!A:A,'TC_BNA xlsx'!C:C,"No encontrado")</f>
        <v>1495</v>
      </c>
      <c r="Q201" s="22"/>
    </row>
    <row r="202" spans="1:17" x14ac:dyDescent="0.25">
      <c r="A202" s="32">
        <v>46218</v>
      </c>
      <c r="B202" s="21">
        <f>MONTH(Tabla2[[#This Row],[Fecha]])</f>
        <v>7</v>
      </c>
      <c r="C202" s="22" t="s">
        <v>312</v>
      </c>
      <c r="D202" s="41" t="str">
        <f>IFERROR(_xlfn.XLOOKUP(Tabla2[[#This Row],[Artículo]],Tabla1[Artículos],Tabla1[Rubro]),"")</f>
        <v>Herramientas</v>
      </c>
      <c r="E202" s="33" t="s">
        <v>118</v>
      </c>
      <c r="F202" s="34">
        <v>1</v>
      </c>
      <c r="G202" s="33" t="s">
        <v>25</v>
      </c>
      <c r="H202" s="35">
        <v>28000</v>
      </c>
      <c r="I202" s="36">
        <f>Tabla2[[#This Row],[Precio Unitario ARS]]/Tabla2[[#This Row],[TC BNA]]</f>
        <v>18.729096989966557</v>
      </c>
      <c r="J202" s="28">
        <v>0.1</v>
      </c>
      <c r="K202" s="33" t="s">
        <v>19</v>
      </c>
      <c r="L202" s="37">
        <v>0.21</v>
      </c>
      <c r="M202" s="38">
        <f>(Tabla2[[#This Row],[Precio Unitario ARS]]-(Tabla2[[#This Row],[Precio Unitario ARS]]*Tabla2[[#This Row],[DTO]]))*Tabla2[[#This Row],[Cantidad]]</f>
        <v>25200</v>
      </c>
      <c r="N202" s="39">
        <f>Tabla2[[#This Row],[Subtotal ARS]]+(Tabla2[[#This Row],[Subtotal ARS]]*Tabla2[[#This Row],[IVA]])</f>
        <v>30492</v>
      </c>
      <c r="O202" s="39">
        <f>Tabla2[[#This Row],[TOTAL ARS]]/Tabla2[[#This Row],[TC BNA]]</f>
        <v>20.395986622073579</v>
      </c>
      <c r="P202" s="40">
        <f>_xlfn.XLOOKUP(A202,'TC_BNA xlsx'!A:A,'TC_BNA xlsx'!C:C,"No encontrado")</f>
        <v>1495</v>
      </c>
      <c r="Q202" s="22"/>
    </row>
    <row r="203" spans="1:17" x14ac:dyDescent="0.25">
      <c r="A203" s="32">
        <v>46218</v>
      </c>
      <c r="B203" s="21">
        <f>MONTH(Tabla2[[#This Row],[Fecha]])</f>
        <v>7</v>
      </c>
      <c r="C203" s="22" t="s">
        <v>312</v>
      </c>
      <c r="D203" s="41" t="str">
        <f>IFERROR(_xlfn.XLOOKUP(Tabla2[[#This Row],[Artículo]],Tabla1[Artículos],Tabla1[Rubro]),"")</f>
        <v>Herramientas</v>
      </c>
      <c r="E203" s="33" t="s">
        <v>118</v>
      </c>
      <c r="F203" s="34">
        <v>1</v>
      </c>
      <c r="G203" s="33" t="s">
        <v>25</v>
      </c>
      <c r="H203" s="35">
        <v>37000</v>
      </c>
      <c r="I203" s="36">
        <f>Tabla2[[#This Row],[Precio Unitario ARS]]/Tabla2[[#This Row],[TC BNA]]</f>
        <v>24.749163879598662</v>
      </c>
      <c r="J203" s="28">
        <v>0.1</v>
      </c>
      <c r="K203" s="33" t="s">
        <v>19</v>
      </c>
      <c r="L203" s="37">
        <v>0.21</v>
      </c>
      <c r="M203" s="38">
        <f>(Tabla2[[#This Row],[Precio Unitario ARS]]-(Tabla2[[#This Row],[Precio Unitario ARS]]*Tabla2[[#This Row],[DTO]]))*Tabla2[[#This Row],[Cantidad]]</f>
        <v>33300</v>
      </c>
      <c r="N203" s="39">
        <f>Tabla2[[#This Row],[Subtotal ARS]]+(Tabla2[[#This Row],[Subtotal ARS]]*Tabla2[[#This Row],[IVA]])</f>
        <v>40293</v>
      </c>
      <c r="O203" s="39">
        <f>Tabla2[[#This Row],[TOTAL ARS]]/Tabla2[[#This Row],[TC BNA]]</f>
        <v>26.951839464882944</v>
      </c>
      <c r="P203" s="40">
        <f>_xlfn.XLOOKUP(A203,'TC_BNA xlsx'!A:A,'TC_BNA xlsx'!C:C,"No encontrado")</f>
        <v>1495</v>
      </c>
      <c r="Q203" s="22"/>
    </row>
    <row r="204" spans="1:17" x14ac:dyDescent="0.25">
      <c r="A204" s="20">
        <v>46219</v>
      </c>
      <c r="B204" s="21">
        <f>MONTH(Tabla2[[#This Row],[Fecha]])</f>
        <v>7</v>
      </c>
      <c r="C204" s="22" t="s">
        <v>148</v>
      </c>
      <c r="D204" s="23" t="str">
        <f>IFERROR(_xlfn.XLOOKUP(Tabla2[[#This Row],[Artículo]],Tabla1[Artículos],Tabla1[Rubro]),"")</f>
        <v>Reventa</v>
      </c>
      <c r="E204" s="24" t="s">
        <v>166</v>
      </c>
      <c r="F204" s="25">
        <v>93000</v>
      </c>
      <c r="G204" s="24" t="s">
        <v>25</v>
      </c>
      <c r="H204" s="26">
        <v>19.775860000000002</v>
      </c>
      <c r="I204" s="27">
        <f>Tabla2[[#This Row],[Precio Unitario ARS]]/Tabla2[[#This Row],[TC BNA]]</f>
        <v>1.3228E-2</v>
      </c>
      <c r="J204" s="28">
        <v>0.15379999999999999</v>
      </c>
      <c r="K204" s="24" t="s">
        <v>19</v>
      </c>
      <c r="L204" s="29">
        <v>0.21</v>
      </c>
      <c r="M204" s="30">
        <f>(Tabla2[[#This Row],[Precio Unitario ARS]]-(Tabla2[[#This Row],[Precio Unitario ARS]]*Tabla2[[#This Row],[DTO]]))*Tabla2[[#This Row],[Cantidad]]</f>
        <v>1556292.9440760002</v>
      </c>
      <c r="N204" s="31">
        <f>Tabla2[[#This Row],[Subtotal ARS]]+(Tabla2[[#This Row],[Subtotal ARS]]*Tabla2[[#This Row],[IVA]])</f>
        <v>1883114.4623319602</v>
      </c>
      <c r="O204" s="31">
        <f>Tabla2[[#This Row],[TOTAL ARS]]/Tabla2[[#This Row],[TC BNA]]</f>
        <v>1259.6083360080002</v>
      </c>
      <c r="P204" s="21">
        <f>_xlfn.XLOOKUP(A204,'TC_BNA xlsx'!A:A,'TC_BNA xlsx'!C:C,"No encontrado")</f>
        <v>1495</v>
      </c>
      <c r="Q204" s="23"/>
    </row>
    <row r="205" spans="1:17" x14ac:dyDescent="0.25">
      <c r="A205" s="32">
        <v>46219</v>
      </c>
      <c r="B205" s="21">
        <f>MONTH(Tabla2[[#This Row],[Fecha]])</f>
        <v>7</v>
      </c>
      <c r="C205" s="22" t="s">
        <v>37</v>
      </c>
      <c r="D205" s="41" t="str">
        <f>IFERROR(_xlfn.XLOOKUP(Tabla2[[#This Row],[Artículo]],Tabla1[Artículos],Tabla1[Rubro]),"")</f>
        <v>Soldadura</v>
      </c>
      <c r="E205" s="33" t="s">
        <v>112</v>
      </c>
      <c r="F205" s="34">
        <v>5</v>
      </c>
      <c r="G205" s="33" t="s">
        <v>25</v>
      </c>
      <c r="H205" s="35">
        <v>5546.45</v>
      </c>
      <c r="I205" s="36">
        <f>Tabla2[[#This Row],[Precio Unitario ARS]]/Tabla2[[#This Row],[TC BNA]]</f>
        <v>3.71</v>
      </c>
      <c r="J205" s="28">
        <v>0</v>
      </c>
      <c r="K205" s="33" t="s">
        <v>19</v>
      </c>
      <c r="L205" s="37">
        <v>0.21</v>
      </c>
      <c r="M205" s="38">
        <f>(Tabla2[[#This Row],[Precio Unitario ARS]]-(Tabla2[[#This Row],[Precio Unitario ARS]]*Tabla2[[#This Row],[DTO]]))*Tabla2[[#This Row],[Cantidad]]</f>
        <v>27732.25</v>
      </c>
      <c r="N205" s="39">
        <f>Tabla2[[#This Row],[Subtotal ARS]]+(Tabla2[[#This Row],[Subtotal ARS]]*Tabla2[[#This Row],[IVA]])</f>
        <v>33556.022499999999</v>
      </c>
      <c r="O205" s="39">
        <f>Tabla2[[#This Row],[TOTAL ARS]]/Tabla2[[#This Row],[TC BNA]]</f>
        <v>22.445499999999999</v>
      </c>
      <c r="P205" s="40">
        <f>_xlfn.XLOOKUP(A205,'TC_BNA xlsx'!A:A,'TC_BNA xlsx'!C:C,"No encontrado")</f>
        <v>1495</v>
      </c>
      <c r="Q205" s="22"/>
    </row>
    <row r="206" spans="1:17" x14ac:dyDescent="0.25">
      <c r="A206" s="20">
        <v>46220</v>
      </c>
      <c r="B206" s="21">
        <f>MONTH(Tabla2[[#This Row],[Fecha]])</f>
        <v>7</v>
      </c>
      <c r="C206" s="22" t="s">
        <v>89</v>
      </c>
      <c r="D206" s="23" t="str">
        <f>IFERROR(_xlfn.XLOOKUP(Tabla2[[#This Row],[Artículo]],Tabla1[Artículos],Tabla1[Rubro]),"")</f>
        <v>Embalaje</v>
      </c>
      <c r="E206" s="24" t="s">
        <v>124</v>
      </c>
      <c r="F206" s="25">
        <v>188</v>
      </c>
      <c r="G206" s="24" t="s">
        <v>150</v>
      </c>
      <c r="H206" s="26">
        <v>4335.5</v>
      </c>
      <c r="I206" s="27">
        <f>Tabla2[[#This Row],[Precio Unitario ARS]]/Tabla2[[#This Row],[TC BNA]]</f>
        <v>2.8903333333333334</v>
      </c>
      <c r="J206" s="28">
        <v>0</v>
      </c>
      <c r="K206" s="24" t="s">
        <v>19</v>
      </c>
      <c r="L206" s="29">
        <v>0.21</v>
      </c>
      <c r="M206" s="30">
        <f>(Tabla2[[#This Row],[Precio Unitario ARS]]-(Tabla2[[#This Row],[Precio Unitario ARS]]*Tabla2[[#This Row],[DTO]]))*Tabla2[[#This Row],[Cantidad]]</f>
        <v>815074</v>
      </c>
      <c r="N206" s="31">
        <f>Tabla2[[#This Row],[Subtotal ARS]]+(Tabla2[[#This Row],[Subtotal ARS]]*Tabla2[[#This Row],[IVA]])</f>
        <v>986239.54</v>
      </c>
      <c r="O206" s="31">
        <f>Tabla2[[#This Row],[TOTAL ARS]]/Tabla2[[#This Row],[TC BNA]]</f>
        <v>657.49302666666665</v>
      </c>
      <c r="P206" s="21">
        <f>_xlfn.XLOOKUP(A206,'TC_BNA xlsx'!A:A,'TC_BNA xlsx'!C:C,"No encontrado")</f>
        <v>1500</v>
      </c>
      <c r="Q206" s="23" t="s">
        <v>238</v>
      </c>
    </row>
    <row r="207" spans="1:17" x14ac:dyDescent="0.25">
      <c r="A207" s="20">
        <v>46220</v>
      </c>
      <c r="B207" s="21">
        <f>MONTH(Tabla2[[#This Row],[Fecha]])</f>
        <v>7</v>
      </c>
      <c r="C207" s="22" t="s">
        <v>90</v>
      </c>
      <c r="D207" s="23" t="str">
        <f>IFERROR(_xlfn.XLOOKUP(Tabla2[[#This Row],[Artículo]],Tabla1[Artículos],Tabla1[Rubro]),"")</f>
        <v>Embalaje</v>
      </c>
      <c r="E207" s="24" t="s">
        <v>124</v>
      </c>
      <c r="F207" s="25">
        <v>18.8</v>
      </c>
      <c r="G207" s="24" t="s">
        <v>150</v>
      </c>
      <c r="H207" s="26">
        <v>4634.5</v>
      </c>
      <c r="I207" s="27">
        <f>Tabla2[[#This Row],[Precio Unitario ARS]]/Tabla2[[#This Row],[TC BNA]]</f>
        <v>3.0896666666666666</v>
      </c>
      <c r="J207" s="28">
        <v>0</v>
      </c>
      <c r="K207" s="24" t="s">
        <v>19</v>
      </c>
      <c r="L207" s="29">
        <v>0.21</v>
      </c>
      <c r="M207" s="30">
        <f>(Tabla2[[#This Row],[Precio Unitario ARS]]-(Tabla2[[#This Row],[Precio Unitario ARS]]*Tabla2[[#This Row],[DTO]]))*Tabla2[[#This Row],[Cantidad]]</f>
        <v>87128.6</v>
      </c>
      <c r="N207" s="31">
        <f>Tabla2[[#This Row],[Subtotal ARS]]+(Tabla2[[#This Row],[Subtotal ARS]]*Tabla2[[#This Row],[IVA]])</f>
        <v>105425.606</v>
      </c>
      <c r="O207" s="31">
        <f>Tabla2[[#This Row],[TOTAL ARS]]/Tabla2[[#This Row],[TC BNA]]</f>
        <v>70.283737333333335</v>
      </c>
      <c r="P207" s="21">
        <f>_xlfn.XLOOKUP(A207,'TC_BNA xlsx'!A:A,'TC_BNA xlsx'!C:C,"No encontrado")</f>
        <v>1500</v>
      </c>
      <c r="Q207" s="23"/>
    </row>
    <row r="208" spans="1:17" x14ac:dyDescent="0.25">
      <c r="A208" s="20">
        <v>46220</v>
      </c>
      <c r="B208" s="21">
        <f>MONTH(Tabla2[[#This Row],[Fecha]])</f>
        <v>7</v>
      </c>
      <c r="C208" s="22" t="s">
        <v>98</v>
      </c>
      <c r="D208" s="23" t="str">
        <f>IFERROR(_xlfn.XLOOKUP(Tabla2[[#This Row],[Artículo]],Tabla1[Artículos],Tabla1[Rubro]),"")</f>
        <v>Embalaje</v>
      </c>
      <c r="E208" s="24" t="s">
        <v>126</v>
      </c>
      <c r="F208" s="25">
        <v>320</v>
      </c>
      <c r="G208" s="24" t="s">
        <v>25</v>
      </c>
      <c r="H208" s="26">
        <v>186.38</v>
      </c>
      <c r="I208" s="27">
        <f>Tabla2[[#This Row],[Precio Unitario ARS]]/Tabla2[[#This Row],[TC BNA]]</f>
        <v>0.12425333333333333</v>
      </c>
      <c r="J208" s="28">
        <v>0</v>
      </c>
      <c r="K208" s="24" t="s">
        <v>19</v>
      </c>
      <c r="L208" s="29">
        <v>0.21</v>
      </c>
      <c r="M208" s="30">
        <f>(Tabla2[[#This Row],[Precio Unitario ARS]]-(Tabla2[[#This Row],[Precio Unitario ARS]]*Tabla2[[#This Row],[DTO]]))*Tabla2[[#This Row],[Cantidad]]</f>
        <v>59641.599999999999</v>
      </c>
      <c r="N208" s="31">
        <f>Tabla2[[#This Row],[Subtotal ARS]]+(Tabla2[[#This Row],[Subtotal ARS]]*Tabla2[[#This Row],[IVA]])</f>
        <v>72166.335999999996</v>
      </c>
      <c r="O208" s="31">
        <f>Tabla2[[#This Row],[TOTAL ARS]]/Tabla2[[#This Row],[TC BNA]]</f>
        <v>48.110890666666663</v>
      </c>
      <c r="P208" s="21">
        <f>_xlfn.XLOOKUP(A208,'TC_BNA xlsx'!A:A,'TC_BNA xlsx'!C:C,"No encontrado")</f>
        <v>1500</v>
      </c>
      <c r="Q208" s="23"/>
    </row>
    <row r="209" spans="1:17" x14ac:dyDescent="0.25">
      <c r="A209" s="20">
        <v>46220</v>
      </c>
      <c r="B209" s="21">
        <f>MONTH(Tabla2[[#This Row],[Fecha]])</f>
        <v>7</v>
      </c>
      <c r="C209" s="22" t="s">
        <v>99</v>
      </c>
      <c r="D209" s="23" t="str">
        <f>IFERROR(_xlfn.XLOOKUP(Tabla2[[#This Row],[Artículo]],Tabla1[Artículos],Tabla1[Rubro]),"")</f>
        <v>Embalaje</v>
      </c>
      <c r="E209" s="24" t="s">
        <v>126</v>
      </c>
      <c r="F209" s="25">
        <v>504</v>
      </c>
      <c r="G209" s="24" t="s">
        <v>25</v>
      </c>
      <c r="H209" s="26">
        <v>266.25</v>
      </c>
      <c r="I209" s="27">
        <f>Tabla2[[#This Row],[Precio Unitario ARS]]/Tabla2[[#This Row],[TC BNA]]</f>
        <v>0.17749999999999999</v>
      </c>
      <c r="J209" s="28">
        <v>0</v>
      </c>
      <c r="K209" s="24" t="s">
        <v>19</v>
      </c>
      <c r="L209" s="29">
        <v>0.21</v>
      </c>
      <c r="M209" s="30">
        <f>(Tabla2[[#This Row],[Precio Unitario ARS]]-(Tabla2[[#This Row],[Precio Unitario ARS]]*Tabla2[[#This Row],[DTO]]))*Tabla2[[#This Row],[Cantidad]]</f>
        <v>134190</v>
      </c>
      <c r="N209" s="31">
        <f>Tabla2[[#This Row],[Subtotal ARS]]+(Tabla2[[#This Row],[Subtotal ARS]]*Tabla2[[#This Row],[IVA]])</f>
        <v>162369.9</v>
      </c>
      <c r="O209" s="31">
        <f>Tabla2[[#This Row],[TOTAL ARS]]/Tabla2[[#This Row],[TC BNA]]</f>
        <v>108.2466</v>
      </c>
      <c r="P209" s="21">
        <f>_xlfn.XLOOKUP(A209,'TC_BNA xlsx'!A:A,'TC_BNA xlsx'!C:C,"No encontrado")</f>
        <v>1500</v>
      </c>
      <c r="Q209" s="23"/>
    </row>
    <row r="210" spans="1:17" x14ac:dyDescent="0.25">
      <c r="A210" s="20">
        <v>46220</v>
      </c>
      <c r="B210" s="21">
        <f>MONTH(Tabla2[[#This Row],[Fecha]])</f>
        <v>7</v>
      </c>
      <c r="C210" s="22" t="s">
        <v>66</v>
      </c>
      <c r="D210" s="23" t="str">
        <f>IFERROR(_xlfn.XLOOKUP(Tabla2[[#This Row],[Artículo]],Tabla1[Artículos],Tabla1[Rubro]),"")</f>
        <v>Herramientas</v>
      </c>
      <c r="E210" s="24" t="s">
        <v>111</v>
      </c>
      <c r="F210" s="25">
        <v>3</v>
      </c>
      <c r="G210" s="24" t="s">
        <v>25</v>
      </c>
      <c r="H210" s="26">
        <v>19586.776900000001</v>
      </c>
      <c r="I210" s="27">
        <f>Tabla2[[#This Row],[Precio Unitario ARS]]/Tabla2[[#This Row],[TC BNA]]</f>
        <v>13.057851266666667</v>
      </c>
      <c r="J210" s="28">
        <v>0</v>
      </c>
      <c r="K210" s="24" t="s">
        <v>19</v>
      </c>
      <c r="L210" s="29">
        <v>0.21</v>
      </c>
      <c r="M210" s="30">
        <f>(Tabla2[[#This Row],[Precio Unitario ARS]]-(Tabla2[[#This Row],[Precio Unitario ARS]]*Tabla2[[#This Row],[DTO]]))*Tabla2[[#This Row],[Cantidad]]</f>
        <v>58760.330700000006</v>
      </c>
      <c r="N210" s="31">
        <f>Tabla2[[#This Row],[Subtotal ARS]]+(Tabla2[[#This Row],[Subtotal ARS]]*Tabla2[[#This Row],[IVA]])</f>
        <v>71100.000147000013</v>
      </c>
      <c r="O210" s="31">
        <f>Tabla2[[#This Row],[TOTAL ARS]]/Tabla2[[#This Row],[TC BNA]]</f>
        <v>47.400000098000007</v>
      </c>
      <c r="P210" s="21">
        <f>_xlfn.XLOOKUP(A210,'TC_BNA xlsx'!A:A,'TC_BNA xlsx'!C:C,"No encontrado")</f>
        <v>1500</v>
      </c>
      <c r="Q210" s="23" t="s">
        <v>240</v>
      </c>
    </row>
    <row r="211" spans="1:17" x14ac:dyDescent="0.25">
      <c r="A211" s="32">
        <v>46220</v>
      </c>
      <c r="B211" s="21">
        <f>MONTH(Tabla2[[#This Row],[Fecha]])</f>
        <v>7</v>
      </c>
      <c r="C211" s="22" t="s">
        <v>320</v>
      </c>
      <c r="D211" s="41" t="str">
        <f>IFERROR(_xlfn.XLOOKUP(Tabla2[[#This Row],[Artículo]],Tabla1[Artículos],Tabla1[Rubro]),"")</f>
        <v>Librería</v>
      </c>
      <c r="E211" s="33" t="s">
        <v>268</v>
      </c>
      <c r="F211" s="34">
        <v>5</v>
      </c>
      <c r="G211" s="33" t="s">
        <v>25</v>
      </c>
      <c r="H211" s="35">
        <v>1621.5</v>
      </c>
      <c r="I211" s="36">
        <f>Tabla2[[#This Row],[Precio Unitario ARS]]/Tabla2[[#This Row],[TC BNA]]</f>
        <v>1.081</v>
      </c>
      <c r="J211" s="28">
        <v>0</v>
      </c>
      <c r="K211" s="33" t="s">
        <v>19</v>
      </c>
      <c r="L211" s="37">
        <v>0.21</v>
      </c>
      <c r="M211" s="38">
        <f>(Tabla2[[#This Row],[Precio Unitario ARS]]-(Tabla2[[#This Row],[Precio Unitario ARS]]*Tabla2[[#This Row],[DTO]]))*Tabla2[[#This Row],[Cantidad]]</f>
        <v>8107.5</v>
      </c>
      <c r="N211" s="39">
        <f>Tabla2[[#This Row],[Subtotal ARS]]+(Tabla2[[#This Row],[Subtotal ARS]]*Tabla2[[#This Row],[IVA]])</f>
        <v>9810.0750000000007</v>
      </c>
      <c r="O211" s="39">
        <f>Tabla2[[#This Row],[TOTAL ARS]]/Tabla2[[#This Row],[TC BNA]]</f>
        <v>6.5400500000000008</v>
      </c>
      <c r="P211" s="40">
        <f>_xlfn.XLOOKUP(A211,'TC_BNA xlsx'!A:A,'TC_BNA xlsx'!C:C,"No encontrado")</f>
        <v>1500</v>
      </c>
      <c r="Q211" s="22"/>
    </row>
    <row r="212" spans="1:17" x14ac:dyDescent="0.25">
      <c r="A212" s="32">
        <v>46220</v>
      </c>
      <c r="B212" s="21">
        <f>MONTH(Tabla2[[#This Row],[Fecha]])</f>
        <v>7</v>
      </c>
      <c r="C212" s="22" t="s">
        <v>323</v>
      </c>
      <c r="D212" s="41" t="str">
        <f>IFERROR(_xlfn.XLOOKUP(Tabla2[[#This Row],[Artículo]],Tabla1[Artículos],Tabla1[Rubro]),"")</f>
        <v>Librería</v>
      </c>
      <c r="E212" s="33" t="s">
        <v>268</v>
      </c>
      <c r="F212" s="34">
        <v>5</v>
      </c>
      <c r="G212" s="33" t="s">
        <v>25</v>
      </c>
      <c r="H212" s="35">
        <v>538.13</v>
      </c>
      <c r="I212" s="36">
        <f>Tabla2[[#This Row],[Precio Unitario ARS]]/Tabla2[[#This Row],[TC BNA]]</f>
        <v>0.35875333333333331</v>
      </c>
      <c r="J212" s="28">
        <v>0</v>
      </c>
      <c r="K212" s="33" t="s">
        <v>19</v>
      </c>
      <c r="L212" s="37">
        <v>0.21</v>
      </c>
      <c r="M212" s="38">
        <f>(Tabla2[[#This Row],[Precio Unitario ARS]]-(Tabla2[[#This Row],[Precio Unitario ARS]]*Tabla2[[#This Row],[DTO]]))*Tabla2[[#This Row],[Cantidad]]</f>
        <v>2690.65</v>
      </c>
      <c r="N212" s="39">
        <f>Tabla2[[#This Row],[Subtotal ARS]]+(Tabla2[[#This Row],[Subtotal ARS]]*Tabla2[[#This Row],[IVA]])</f>
        <v>3255.6865000000003</v>
      </c>
      <c r="O212" s="39">
        <f>Tabla2[[#This Row],[TOTAL ARS]]/Tabla2[[#This Row],[TC BNA]]</f>
        <v>2.1704576666666666</v>
      </c>
      <c r="P212" s="40">
        <f>_xlfn.XLOOKUP(A212,'TC_BNA xlsx'!A:A,'TC_BNA xlsx'!C:C,"No encontrado")</f>
        <v>1500</v>
      </c>
      <c r="Q212" s="22"/>
    </row>
    <row r="213" spans="1:17" x14ac:dyDescent="0.25">
      <c r="A213" s="32">
        <v>46220</v>
      </c>
      <c r="B213" s="21">
        <f>MONTH(Tabla2[[#This Row],[Fecha]])</f>
        <v>7</v>
      </c>
      <c r="C213" s="22" t="s">
        <v>321</v>
      </c>
      <c r="D213" s="41" t="str">
        <f>IFERROR(_xlfn.XLOOKUP(Tabla2[[#This Row],[Artículo]],Tabla1[Artículos],Tabla1[Rubro]),"")</f>
        <v>Librería</v>
      </c>
      <c r="E213" s="33" t="s">
        <v>268</v>
      </c>
      <c r="F213" s="34">
        <v>3</v>
      </c>
      <c r="G213" s="33" t="s">
        <v>25</v>
      </c>
      <c r="H213" s="35">
        <v>3948</v>
      </c>
      <c r="I213" s="36">
        <f>Tabla2[[#This Row],[Precio Unitario ARS]]/Tabla2[[#This Row],[TC BNA]]</f>
        <v>2.6320000000000001</v>
      </c>
      <c r="J213" s="28">
        <v>0</v>
      </c>
      <c r="K213" s="33" t="s">
        <v>19</v>
      </c>
      <c r="L213" s="37">
        <v>0.21</v>
      </c>
      <c r="M213" s="38">
        <f>(Tabla2[[#This Row],[Precio Unitario ARS]]-(Tabla2[[#This Row],[Precio Unitario ARS]]*Tabla2[[#This Row],[DTO]]))*Tabla2[[#This Row],[Cantidad]]</f>
        <v>11844</v>
      </c>
      <c r="N213" s="39">
        <f>Tabla2[[#This Row],[Subtotal ARS]]+(Tabla2[[#This Row],[Subtotal ARS]]*Tabla2[[#This Row],[IVA]])</f>
        <v>14331.24</v>
      </c>
      <c r="O213" s="39">
        <f>Tabla2[[#This Row],[TOTAL ARS]]/Tabla2[[#This Row],[TC BNA]]</f>
        <v>9.5541599999999995</v>
      </c>
      <c r="P213" s="40">
        <f>_xlfn.XLOOKUP(A213,'TC_BNA xlsx'!A:A,'TC_BNA xlsx'!C:C,"No encontrado")</f>
        <v>1500</v>
      </c>
      <c r="Q213" s="22"/>
    </row>
    <row r="214" spans="1:17" x14ac:dyDescent="0.25">
      <c r="A214" s="32">
        <v>46220</v>
      </c>
      <c r="B214" s="21">
        <f>MONTH(Tabla2[[#This Row],[Fecha]])</f>
        <v>7</v>
      </c>
      <c r="C214" s="22" t="s">
        <v>322</v>
      </c>
      <c r="D214" s="41" t="str">
        <f>IFERROR(_xlfn.XLOOKUP(Tabla2[[#This Row],[Artículo]],Tabla1[Artículos],Tabla1[Rubro]),"")</f>
        <v>Librería</v>
      </c>
      <c r="E214" s="33" t="s">
        <v>268</v>
      </c>
      <c r="F214" s="34">
        <v>36</v>
      </c>
      <c r="G214" s="33" t="s">
        <v>25</v>
      </c>
      <c r="H214" s="35">
        <v>185.44</v>
      </c>
      <c r="I214" s="36">
        <f>Tabla2[[#This Row],[Precio Unitario ARS]]/Tabla2[[#This Row],[TC BNA]]</f>
        <v>0.12362666666666666</v>
      </c>
      <c r="J214" s="28">
        <v>0</v>
      </c>
      <c r="K214" s="33" t="s">
        <v>19</v>
      </c>
      <c r="L214" s="37">
        <v>0.21</v>
      </c>
      <c r="M214" s="38">
        <f>(Tabla2[[#This Row],[Precio Unitario ARS]]-(Tabla2[[#This Row],[Precio Unitario ARS]]*Tabla2[[#This Row],[DTO]]))*Tabla2[[#This Row],[Cantidad]]</f>
        <v>6675.84</v>
      </c>
      <c r="N214" s="39">
        <f>Tabla2[[#This Row],[Subtotal ARS]]+(Tabla2[[#This Row],[Subtotal ARS]]*Tabla2[[#This Row],[IVA]])</f>
        <v>8077.7664000000004</v>
      </c>
      <c r="O214" s="39">
        <f>Tabla2[[#This Row],[TOTAL ARS]]/Tabla2[[#This Row],[TC BNA]]</f>
        <v>5.3851776000000005</v>
      </c>
      <c r="P214" s="40">
        <f>_xlfn.XLOOKUP(A214,'TC_BNA xlsx'!A:A,'TC_BNA xlsx'!C:C,"No encontrado")</f>
        <v>1500</v>
      </c>
      <c r="Q214" s="22"/>
    </row>
    <row r="215" spans="1:17" x14ac:dyDescent="0.25">
      <c r="A215" s="20">
        <v>46224</v>
      </c>
      <c r="B215" s="21">
        <f>MONTH(Tabla2[[#This Row],[Fecha]])</f>
        <v>7</v>
      </c>
      <c r="C215" s="22" t="s">
        <v>248</v>
      </c>
      <c r="D215" s="23" t="str">
        <f>IFERROR(_xlfn.XLOOKUP(Tabla2[[#This Row],[Artículo]],Tabla1[Artículos],Tabla1[Rubro]),"")</f>
        <v>EPP</v>
      </c>
      <c r="E215" s="24" t="s">
        <v>247</v>
      </c>
      <c r="F215" s="25">
        <v>4</v>
      </c>
      <c r="G215" s="24" t="s">
        <v>25</v>
      </c>
      <c r="H215" s="26">
        <v>23500</v>
      </c>
      <c r="I215" s="27">
        <f>Tabla2[[#This Row],[Precio Unitario ARS]]/Tabla2[[#This Row],[TC BNA]]</f>
        <v>15.666666666666666</v>
      </c>
      <c r="J215" s="28">
        <v>0</v>
      </c>
      <c r="K215" s="24" t="s">
        <v>19</v>
      </c>
      <c r="L215" s="29">
        <v>0.21</v>
      </c>
      <c r="M215" s="30">
        <f>(Tabla2[[#This Row],[Precio Unitario ARS]]-(Tabla2[[#This Row],[Precio Unitario ARS]]*Tabla2[[#This Row],[DTO]]))*Tabla2[[#This Row],[Cantidad]]</f>
        <v>94000</v>
      </c>
      <c r="N215" s="31">
        <f>Tabla2[[#This Row],[Subtotal ARS]]+(Tabla2[[#This Row],[Subtotal ARS]]*Tabla2[[#This Row],[IVA]])</f>
        <v>113740</v>
      </c>
      <c r="O215" s="31">
        <f>Tabla2[[#This Row],[TOTAL ARS]]/Tabla2[[#This Row],[TC BNA]]</f>
        <v>75.826666666666668</v>
      </c>
      <c r="P215" s="21">
        <f>_xlfn.XLOOKUP(A215,'TC_BNA xlsx'!A:A,'TC_BNA xlsx'!C:C,"No encontrado")</f>
        <v>1500</v>
      </c>
      <c r="Q215" s="23"/>
    </row>
    <row r="216" spans="1:17" x14ac:dyDescent="0.25">
      <c r="A216" s="32">
        <v>46224</v>
      </c>
      <c r="B216" s="21">
        <f>MONTH(Tabla2[[#This Row],[Fecha]])</f>
        <v>7</v>
      </c>
      <c r="C216" s="22" t="s">
        <v>249</v>
      </c>
      <c r="D216" s="23" t="str">
        <f>IFERROR(_xlfn.XLOOKUP(Tabla2[[#This Row],[Artículo]],Tabla1[Artículos],Tabla1[Rubro]),"")</f>
        <v>EPP</v>
      </c>
      <c r="E216" s="24" t="s">
        <v>247</v>
      </c>
      <c r="F216" s="25">
        <v>1</v>
      </c>
      <c r="G216" s="24" t="s">
        <v>25</v>
      </c>
      <c r="H216" s="35">
        <v>32000</v>
      </c>
      <c r="I216" s="36">
        <f>Tabla2[[#This Row],[Precio Unitario ARS]]/Tabla2[[#This Row],[TC BNA]]</f>
        <v>21.333333333333332</v>
      </c>
      <c r="J216" s="28">
        <v>0</v>
      </c>
      <c r="K216" s="33" t="s">
        <v>19</v>
      </c>
      <c r="L216" s="37">
        <v>0.21</v>
      </c>
      <c r="M216" s="38">
        <f>(Tabla2[[#This Row],[Precio Unitario ARS]]-(Tabla2[[#This Row],[Precio Unitario ARS]]*Tabla2[[#This Row],[DTO]]))*Tabla2[[#This Row],[Cantidad]]</f>
        <v>32000</v>
      </c>
      <c r="N216" s="39">
        <f>Tabla2[[#This Row],[Subtotal ARS]]+(Tabla2[[#This Row],[Subtotal ARS]]*Tabla2[[#This Row],[IVA]])</f>
        <v>38720</v>
      </c>
      <c r="O216" s="39">
        <f>Tabla2[[#This Row],[TOTAL ARS]]/Tabla2[[#This Row],[TC BNA]]</f>
        <v>25.813333333333333</v>
      </c>
      <c r="P216" s="40">
        <f>_xlfn.XLOOKUP(A216,'TC_BNA xlsx'!A:A,'TC_BNA xlsx'!C:C,"No encontrado")</f>
        <v>1500</v>
      </c>
      <c r="Q216" s="22"/>
    </row>
    <row r="217" spans="1:17" x14ac:dyDescent="0.25">
      <c r="A217" s="20">
        <v>46224</v>
      </c>
      <c r="B217" s="21">
        <f>MONTH(Tabla2[[#This Row],[Fecha]])</f>
        <v>7</v>
      </c>
      <c r="C217" s="22" t="s">
        <v>246</v>
      </c>
      <c r="D217" s="23" t="str">
        <f>IFERROR(_xlfn.XLOOKUP(Tabla2[[#This Row],[Artículo]],Tabla1[Artículos],Tabla1[Rubro]),"")</f>
        <v>EPP</v>
      </c>
      <c r="E217" s="24" t="s">
        <v>247</v>
      </c>
      <c r="F217" s="25">
        <v>1</v>
      </c>
      <c r="G217" s="24" t="s">
        <v>25</v>
      </c>
      <c r="H217" s="26">
        <v>59000</v>
      </c>
      <c r="I217" s="27">
        <f>Tabla2[[#This Row],[Precio Unitario ARS]]/Tabla2[[#This Row],[TC BNA]]</f>
        <v>39.333333333333336</v>
      </c>
      <c r="J217" s="28">
        <v>0</v>
      </c>
      <c r="K217" s="24" t="s">
        <v>19</v>
      </c>
      <c r="L217" s="29">
        <v>0.21</v>
      </c>
      <c r="M217" s="30">
        <f>(Tabla2[[#This Row],[Precio Unitario ARS]]-(Tabla2[[#This Row],[Precio Unitario ARS]]*Tabla2[[#This Row],[DTO]]))*Tabla2[[#This Row],[Cantidad]]</f>
        <v>59000</v>
      </c>
      <c r="N217" s="31">
        <f>Tabla2[[#This Row],[Subtotal ARS]]+(Tabla2[[#This Row],[Subtotal ARS]]*Tabla2[[#This Row],[IVA]])</f>
        <v>71390</v>
      </c>
      <c r="O217" s="31">
        <f>Tabla2[[#This Row],[TOTAL ARS]]/Tabla2[[#This Row],[TC BNA]]</f>
        <v>47.593333333333334</v>
      </c>
      <c r="P217" s="21">
        <f>_xlfn.XLOOKUP(A217,'TC_BNA xlsx'!A:A,'TC_BNA xlsx'!C:C,"No encontrado")</f>
        <v>1500</v>
      </c>
      <c r="Q217" s="23"/>
    </row>
    <row r="218" spans="1:17" x14ac:dyDescent="0.25">
      <c r="A218" s="32">
        <v>46224</v>
      </c>
      <c r="B218" s="21">
        <f>MONTH(Tabla2[[#This Row],[Fecha]])</f>
        <v>7</v>
      </c>
      <c r="C218" s="22" t="s">
        <v>324</v>
      </c>
      <c r="D218" s="41" t="str">
        <f>IFERROR(_xlfn.XLOOKUP(Tabla2[[#This Row],[Artículo]],Tabla1[Artículos],Tabla1[Rubro]),"")</f>
        <v>Librería</v>
      </c>
      <c r="E218" s="33" t="s">
        <v>268</v>
      </c>
      <c r="F218" s="34">
        <v>2</v>
      </c>
      <c r="G218" s="24" t="s">
        <v>25</v>
      </c>
      <c r="H218" s="35">
        <v>13105.91</v>
      </c>
      <c r="I218" s="36">
        <f>Tabla2[[#This Row],[Precio Unitario ARS]]/Tabla2[[#This Row],[TC BNA]]</f>
        <v>8.7372733333333326</v>
      </c>
      <c r="J218" s="28">
        <v>0</v>
      </c>
      <c r="K218" s="24" t="s">
        <v>19</v>
      </c>
      <c r="L218" s="29">
        <v>0.21</v>
      </c>
      <c r="M218" s="38">
        <f>(Tabla2[[#This Row],[Precio Unitario ARS]]-(Tabla2[[#This Row],[Precio Unitario ARS]]*Tabla2[[#This Row],[DTO]]))*Tabla2[[#This Row],[Cantidad]]</f>
        <v>26211.82</v>
      </c>
      <c r="N218" s="39">
        <f>Tabla2[[#This Row],[Subtotal ARS]]+(Tabla2[[#This Row],[Subtotal ARS]]*Tabla2[[#This Row],[IVA]])</f>
        <v>31716.302199999998</v>
      </c>
      <c r="O218" s="39">
        <f>Tabla2[[#This Row],[TOTAL ARS]]/Tabla2[[#This Row],[TC BNA]]</f>
        <v>21.144201466666665</v>
      </c>
      <c r="P218" s="40">
        <f>_xlfn.XLOOKUP(A218,'TC_BNA xlsx'!A:A,'TC_BNA xlsx'!C:C,"No encontrado")</f>
        <v>1500</v>
      </c>
      <c r="Q218" s="22"/>
    </row>
    <row r="219" spans="1:17" x14ac:dyDescent="0.25">
      <c r="A219" s="32">
        <v>46225</v>
      </c>
      <c r="B219" s="21">
        <f>MONTH(Tabla2[[#This Row],[Fecha]])</f>
        <v>7</v>
      </c>
      <c r="C219" s="22" t="s">
        <v>76</v>
      </c>
      <c r="D219" s="23" t="str">
        <f>IFERROR(_xlfn.XLOOKUP(Tabla2[[#This Row],[Artículo]],Tabla1[Artículos],Tabla1[Rubro]),"")</f>
        <v>EPP</v>
      </c>
      <c r="E219" s="24" t="s">
        <v>22</v>
      </c>
      <c r="F219" s="25">
        <v>48</v>
      </c>
      <c r="G219" s="24" t="s">
        <v>23</v>
      </c>
      <c r="H219" s="35">
        <v>651.15</v>
      </c>
      <c r="I219" s="36">
        <f>Tabla2[[#This Row],[Precio Unitario ARS]]/Tabla2[[#This Row],[TC BNA]]</f>
        <v>0.43265780730897008</v>
      </c>
      <c r="J219" s="28">
        <v>0</v>
      </c>
      <c r="K219" s="33" t="s">
        <v>19</v>
      </c>
      <c r="L219" s="37">
        <v>0.21</v>
      </c>
      <c r="M219" s="38">
        <f>(Tabla2[[#This Row],[Precio Unitario ARS]]-(Tabla2[[#This Row],[Precio Unitario ARS]]*Tabla2[[#This Row],[DTO]]))*Tabla2[[#This Row],[Cantidad]]</f>
        <v>31255.199999999997</v>
      </c>
      <c r="N219" s="39">
        <f>Tabla2[[#This Row],[Subtotal ARS]]+(Tabla2[[#This Row],[Subtotal ARS]]*Tabla2[[#This Row],[IVA]])</f>
        <v>37818.791999999994</v>
      </c>
      <c r="O219" s="39">
        <f>Tabla2[[#This Row],[TOTAL ARS]]/Tabla2[[#This Row],[TC BNA]]</f>
        <v>25.128765448504979</v>
      </c>
      <c r="P219" s="40">
        <f>_xlfn.XLOOKUP(A219,'TC_BNA xlsx'!A:A,'TC_BNA xlsx'!C:C,"No encontrado")</f>
        <v>1505</v>
      </c>
      <c r="Q219" s="22"/>
    </row>
    <row r="220" spans="1:17" x14ac:dyDescent="0.25">
      <c r="A220" s="32">
        <v>46225</v>
      </c>
      <c r="B220" s="21">
        <f>MONTH(Tabla2[[#This Row],[Fecha]])</f>
        <v>7</v>
      </c>
      <c r="C220" s="22" t="s">
        <v>77</v>
      </c>
      <c r="D220" s="23" t="str">
        <f>IFERROR(_xlfn.XLOOKUP(Tabla2[[#This Row],[Artículo]],Tabla1[Artículos],Tabla1[Rubro]),"")</f>
        <v>EPP</v>
      </c>
      <c r="E220" s="24" t="s">
        <v>22</v>
      </c>
      <c r="F220" s="25">
        <v>60</v>
      </c>
      <c r="G220" s="24" t="s">
        <v>23</v>
      </c>
      <c r="H220" s="35">
        <v>651.15</v>
      </c>
      <c r="I220" s="36">
        <f>Tabla2[[#This Row],[Precio Unitario ARS]]/Tabla2[[#This Row],[TC BNA]]</f>
        <v>0.43265780730897008</v>
      </c>
      <c r="J220" s="28">
        <v>0</v>
      </c>
      <c r="K220" s="33" t="s">
        <v>19</v>
      </c>
      <c r="L220" s="37">
        <v>0.21</v>
      </c>
      <c r="M220" s="38">
        <f>(Tabla2[[#This Row],[Precio Unitario ARS]]-(Tabla2[[#This Row],[Precio Unitario ARS]]*Tabla2[[#This Row],[DTO]]))*Tabla2[[#This Row],[Cantidad]]</f>
        <v>39069</v>
      </c>
      <c r="N220" s="39">
        <f>Tabla2[[#This Row],[Subtotal ARS]]+(Tabla2[[#This Row],[Subtotal ARS]]*Tabla2[[#This Row],[IVA]])</f>
        <v>47273.49</v>
      </c>
      <c r="O220" s="39">
        <f>Tabla2[[#This Row],[TOTAL ARS]]/Tabla2[[#This Row],[TC BNA]]</f>
        <v>31.410956810631227</v>
      </c>
      <c r="P220" s="40">
        <f>_xlfn.XLOOKUP(A220,'TC_BNA xlsx'!A:A,'TC_BNA xlsx'!C:C,"No encontrado")</f>
        <v>1505</v>
      </c>
      <c r="Q220" s="22"/>
    </row>
    <row r="221" spans="1:17" x14ac:dyDescent="0.25">
      <c r="A221" s="20">
        <v>46225</v>
      </c>
      <c r="B221" s="21">
        <f>MONTH(Tabla2[[#This Row],[Fecha]])</f>
        <v>7</v>
      </c>
      <c r="C221" s="22" t="s">
        <v>75</v>
      </c>
      <c r="D221" s="23" t="str">
        <f>IFERROR(_xlfn.XLOOKUP(Tabla2[[#This Row],[Artículo]],Tabla1[Artículos],Tabla1[Rubro]),"")</f>
        <v>EPP</v>
      </c>
      <c r="E221" s="24" t="s">
        <v>22</v>
      </c>
      <c r="F221" s="25">
        <v>24</v>
      </c>
      <c r="G221" s="24" t="s">
        <v>23</v>
      </c>
      <c r="H221" s="26">
        <v>4482</v>
      </c>
      <c r="I221" s="27">
        <f>Tabla2[[#This Row],[Precio Unitario ARS]]/Tabla2[[#This Row],[TC BNA]]</f>
        <v>2.9780730897009966</v>
      </c>
      <c r="J221" s="28">
        <v>0</v>
      </c>
      <c r="K221" s="24" t="s">
        <v>19</v>
      </c>
      <c r="L221" s="29">
        <v>0.21</v>
      </c>
      <c r="M221" s="30">
        <f>(Tabla2[[#This Row],[Precio Unitario ARS]]-(Tabla2[[#This Row],[Precio Unitario ARS]]*Tabla2[[#This Row],[DTO]]))*Tabla2[[#This Row],[Cantidad]]</f>
        <v>107568</v>
      </c>
      <c r="N221" s="31">
        <f>Tabla2[[#This Row],[Subtotal ARS]]+(Tabla2[[#This Row],[Subtotal ARS]]*Tabla2[[#This Row],[IVA]])</f>
        <v>130157.28</v>
      </c>
      <c r="O221" s="31">
        <f>Tabla2[[#This Row],[TOTAL ARS]]/Tabla2[[#This Row],[TC BNA]]</f>
        <v>86.483242524916946</v>
      </c>
      <c r="P221" s="21">
        <f>_xlfn.XLOOKUP(A221,'TC_BNA xlsx'!A:A,'TC_BNA xlsx'!C:C,"No encontrado")</f>
        <v>1505</v>
      </c>
      <c r="Q221" s="23" t="s">
        <v>252</v>
      </c>
    </row>
    <row r="222" spans="1:17" x14ac:dyDescent="0.25">
      <c r="A222" s="20">
        <v>46225</v>
      </c>
      <c r="B222" s="21">
        <f>MONTH(Tabla2[[#This Row],[Fecha]])</f>
        <v>7</v>
      </c>
      <c r="C222" s="22" t="s">
        <v>54</v>
      </c>
      <c r="D222" s="23" t="str">
        <f>IFERROR(_xlfn.XLOOKUP(Tabla2[[#This Row],[Artículo]],Tabla1[Artículos],Tabla1[Rubro]),"")</f>
        <v>Embalaje</v>
      </c>
      <c r="E222" s="24" t="s">
        <v>16</v>
      </c>
      <c r="F222" s="25">
        <v>25</v>
      </c>
      <c r="G222" s="24" t="s">
        <v>17</v>
      </c>
      <c r="H222" s="26">
        <v>22056.94</v>
      </c>
      <c r="I222" s="27">
        <f>Tabla2[[#This Row],[Precio Unitario ARS]]/Tabla2[[#This Row],[TC BNA]]</f>
        <v>14.655774086378736</v>
      </c>
      <c r="J222" s="28">
        <v>0.4</v>
      </c>
      <c r="K222" s="24" t="s">
        <v>19</v>
      </c>
      <c r="L222" s="29">
        <v>0.21</v>
      </c>
      <c r="M222" s="30">
        <f>(Tabla2[[#This Row],[Precio Unitario ARS]]-(Tabla2[[#This Row],[Precio Unitario ARS]]*Tabla2[[#This Row],[DTO]]))*Tabla2[[#This Row],[Cantidad]]</f>
        <v>330854.09999999998</v>
      </c>
      <c r="N222" s="31">
        <f>Tabla2[[#This Row],[Subtotal ARS]]+(Tabla2[[#This Row],[Subtotal ARS]]*Tabla2[[#This Row],[IVA]])</f>
        <v>400333.46099999995</v>
      </c>
      <c r="O222" s="31">
        <f>Tabla2[[#This Row],[TOTAL ARS]]/Tabla2[[#This Row],[TC BNA]]</f>
        <v>266.00229966777408</v>
      </c>
      <c r="P222" s="21">
        <f>_xlfn.XLOOKUP(A222,'TC_BNA xlsx'!A:A,'TC_BNA xlsx'!C:C,"No encontrado")</f>
        <v>1505</v>
      </c>
      <c r="Q222" s="23"/>
    </row>
    <row r="223" spans="1:17" x14ac:dyDescent="0.25">
      <c r="A223" s="20">
        <v>46225</v>
      </c>
      <c r="B223" s="21">
        <f>MONTH(Tabla2[[#This Row],[Fecha]])</f>
        <v>7</v>
      </c>
      <c r="C223" s="22" t="s">
        <v>147</v>
      </c>
      <c r="D223" s="23" t="str">
        <f>IFERROR(_xlfn.XLOOKUP(Tabla2[[#This Row],[Artículo]],Tabla1[Artículos],Tabla1[Rubro]),"")</f>
        <v>Reventa</v>
      </c>
      <c r="E223" s="24" t="s">
        <v>149</v>
      </c>
      <c r="F223" s="25">
        <v>50000</v>
      </c>
      <c r="G223" s="24" t="s">
        <v>25</v>
      </c>
      <c r="H223" s="26">
        <v>27.97</v>
      </c>
      <c r="I223" s="27">
        <f>Tabla2[[#This Row],[Precio Unitario ARS]]/Tabla2[[#This Row],[TC BNA]]</f>
        <v>1.8584717607973422E-2</v>
      </c>
      <c r="J223" s="28">
        <v>0</v>
      </c>
      <c r="K223" s="24" t="s">
        <v>19</v>
      </c>
      <c r="L223" s="29">
        <v>0.21</v>
      </c>
      <c r="M223" s="30">
        <f>(Tabla2[[#This Row],[Precio Unitario ARS]]-(Tabla2[[#This Row],[Precio Unitario ARS]]*Tabla2[[#This Row],[DTO]]))*Tabla2[[#This Row],[Cantidad]]</f>
        <v>1398500</v>
      </c>
      <c r="N223" s="31">
        <f>Tabla2[[#This Row],[Subtotal ARS]]+(Tabla2[[#This Row],[Subtotal ARS]]*Tabla2[[#This Row],[IVA]])</f>
        <v>1692185</v>
      </c>
      <c r="O223" s="31">
        <f>Tabla2[[#This Row],[TOTAL ARS]]/Tabla2[[#This Row],[TC BNA]]</f>
        <v>1124.3754152823919</v>
      </c>
      <c r="P223" s="21">
        <f>_xlfn.XLOOKUP(A223,'TC_BNA xlsx'!A:A,'TC_BNA xlsx'!C:C,"No encontrado")</f>
        <v>1505</v>
      </c>
      <c r="Q223" s="23"/>
    </row>
    <row r="224" spans="1:17" x14ac:dyDescent="0.25">
      <c r="A224" s="32">
        <v>46225</v>
      </c>
      <c r="B224" s="21">
        <f>MONTH(Tabla2[[#This Row],[Fecha]])</f>
        <v>7</v>
      </c>
      <c r="C224" s="22" t="s">
        <v>148</v>
      </c>
      <c r="D224" s="23" t="str">
        <f>IFERROR(_xlfn.XLOOKUP(Tabla2[[#This Row],[Artículo]],Tabla1[Artículos],Tabla1[Rubro]),"")</f>
        <v>Reventa</v>
      </c>
      <c r="E224" s="33" t="s">
        <v>149</v>
      </c>
      <c r="F224" s="34">
        <v>50000</v>
      </c>
      <c r="G224" s="33" t="s">
        <v>25</v>
      </c>
      <c r="H224" s="35">
        <v>16</v>
      </c>
      <c r="I224" s="36">
        <f>Tabla2[[#This Row],[Precio Unitario ARS]]/Tabla2[[#This Row],[TC BNA]]</f>
        <v>1.0631229235880399E-2</v>
      </c>
      <c r="J224" s="28">
        <v>0</v>
      </c>
      <c r="K224" s="33" t="s">
        <v>19</v>
      </c>
      <c r="L224" s="37">
        <v>0.21</v>
      </c>
      <c r="M224" s="38">
        <f>(Tabla2[[#This Row],[Precio Unitario ARS]]-(Tabla2[[#This Row],[Precio Unitario ARS]]*Tabla2[[#This Row],[DTO]]))*Tabla2[[#This Row],[Cantidad]]</f>
        <v>800000</v>
      </c>
      <c r="N224" s="39">
        <f>Tabla2[[#This Row],[Subtotal ARS]]+(Tabla2[[#This Row],[Subtotal ARS]]*Tabla2[[#This Row],[IVA]])</f>
        <v>968000</v>
      </c>
      <c r="O224" s="39">
        <f>Tabla2[[#This Row],[TOTAL ARS]]/Tabla2[[#This Row],[TC BNA]]</f>
        <v>643.18936877076408</v>
      </c>
      <c r="P224" s="40">
        <f>_xlfn.XLOOKUP(A224,'TC_BNA xlsx'!A:A,'TC_BNA xlsx'!C:C,"No encontrado")</f>
        <v>1505</v>
      </c>
      <c r="Q224" s="22"/>
    </row>
    <row r="225" spans="1:17" x14ac:dyDescent="0.25">
      <c r="A225" s="32">
        <v>46225</v>
      </c>
      <c r="B225" s="21">
        <f>MONTH(Tabla2[[#This Row],[Fecha]])</f>
        <v>7</v>
      </c>
      <c r="C225" s="22" t="s">
        <v>253</v>
      </c>
      <c r="D225" s="23" t="str">
        <f>IFERROR(_xlfn.XLOOKUP(Tabla2[[#This Row],[Artículo]],Tabla1[Artículos],Tabla1[Rubro]),"")</f>
        <v>Reventa</v>
      </c>
      <c r="E225" s="33" t="s">
        <v>149</v>
      </c>
      <c r="F225" s="34">
        <v>15000</v>
      </c>
      <c r="G225" s="33" t="s">
        <v>25</v>
      </c>
      <c r="H225" s="35">
        <v>107.51</v>
      </c>
      <c r="I225" s="36">
        <f>Tabla2[[#This Row],[Precio Unitario ARS]]/Tabla2[[#This Row],[TC BNA]]</f>
        <v>7.1435215946843864E-2</v>
      </c>
      <c r="J225" s="28">
        <v>0</v>
      </c>
      <c r="K225" s="33" t="s">
        <v>19</v>
      </c>
      <c r="L225" s="37">
        <v>0.21</v>
      </c>
      <c r="M225" s="38">
        <f>(Tabla2[[#This Row],[Precio Unitario ARS]]-(Tabla2[[#This Row],[Precio Unitario ARS]]*Tabla2[[#This Row],[DTO]]))*Tabla2[[#This Row],[Cantidad]]</f>
        <v>1612650</v>
      </c>
      <c r="N225" s="39">
        <f>Tabla2[[#This Row],[Subtotal ARS]]+(Tabla2[[#This Row],[Subtotal ARS]]*Tabla2[[#This Row],[IVA]])</f>
        <v>1951306.5</v>
      </c>
      <c r="O225" s="39">
        <f>Tabla2[[#This Row],[TOTAL ARS]]/Tabla2[[#This Row],[TC BNA]]</f>
        <v>1296.5491694352158</v>
      </c>
      <c r="P225" s="40">
        <f>_xlfn.XLOOKUP(A225,'TC_BNA xlsx'!A:A,'TC_BNA xlsx'!C:C,"No encontrado")</f>
        <v>1505</v>
      </c>
      <c r="Q225" s="22"/>
    </row>
    <row r="226" spans="1:17" x14ac:dyDescent="0.25">
      <c r="A226" s="32">
        <v>46225</v>
      </c>
      <c r="B226" s="21">
        <f>MONTH(Tabla2[[#This Row],[Fecha]])</f>
        <v>7</v>
      </c>
      <c r="C226" s="22" t="s">
        <v>140</v>
      </c>
      <c r="D226" s="23" t="str">
        <f>IFERROR(_xlfn.XLOOKUP(Tabla2[[#This Row],[Artículo]],Tabla1[Artículos],Tabla1[Rubro]),"")</f>
        <v>Reventa</v>
      </c>
      <c r="E226" s="33" t="s">
        <v>149</v>
      </c>
      <c r="F226" s="34">
        <v>32.6</v>
      </c>
      <c r="G226" s="33" t="s">
        <v>150</v>
      </c>
      <c r="H226" s="35">
        <v>4800</v>
      </c>
      <c r="I226" s="36">
        <f>Tabla2[[#This Row],[Precio Unitario ARS]]/Tabla2[[#This Row],[TC BNA]]</f>
        <v>3.1893687707641196</v>
      </c>
      <c r="J226" s="28">
        <v>0</v>
      </c>
      <c r="K226" s="33" t="s">
        <v>19</v>
      </c>
      <c r="L226" s="37">
        <v>0.21</v>
      </c>
      <c r="M226" s="38">
        <f>(Tabla2[[#This Row],[Precio Unitario ARS]]-(Tabla2[[#This Row],[Precio Unitario ARS]]*Tabla2[[#This Row],[DTO]]))*Tabla2[[#This Row],[Cantidad]]</f>
        <v>156480</v>
      </c>
      <c r="N226" s="39">
        <f>Tabla2[[#This Row],[Subtotal ARS]]+(Tabla2[[#This Row],[Subtotal ARS]]*Tabla2[[#This Row],[IVA]])</f>
        <v>189340.79999999999</v>
      </c>
      <c r="O226" s="39">
        <f>Tabla2[[#This Row],[TOTAL ARS]]/Tabla2[[#This Row],[TC BNA]]</f>
        <v>125.80784053156145</v>
      </c>
      <c r="P226" s="40">
        <f>_xlfn.XLOOKUP(A226,'TC_BNA xlsx'!A:A,'TC_BNA xlsx'!C:C,"No encontrado")</f>
        <v>1505</v>
      </c>
      <c r="Q226" s="22"/>
    </row>
    <row r="227" spans="1:17" x14ac:dyDescent="0.25">
      <c r="A227" s="32">
        <v>46225</v>
      </c>
      <c r="B227" s="21">
        <f>MONTH(Tabla2[[#This Row],[Fecha]])</f>
        <v>7</v>
      </c>
      <c r="C227" s="22" t="s">
        <v>141</v>
      </c>
      <c r="D227" s="23" t="str">
        <f>IFERROR(_xlfn.XLOOKUP(Tabla2[[#This Row],[Artículo]],Tabla1[Artículos],Tabla1[Rubro]),"")</f>
        <v>Reventa</v>
      </c>
      <c r="E227" s="33" t="s">
        <v>149</v>
      </c>
      <c r="F227" s="34">
        <v>20</v>
      </c>
      <c r="G227" s="33" t="s">
        <v>150</v>
      </c>
      <c r="H227" s="35">
        <v>4890</v>
      </c>
      <c r="I227" s="36">
        <f>Tabla2[[#This Row],[Precio Unitario ARS]]/Tabla2[[#This Row],[TC BNA]]</f>
        <v>3.249169435215947</v>
      </c>
      <c r="J227" s="28">
        <v>0</v>
      </c>
      <c r="K227" s="33" t="s">
        <v>19</v>
      </c>
      <c r="L227" s="37">
        <v>0.21</v>
      </c>
      <c r="M227" s="38">
        <f>(Tabla2[[#This Row],[Precio Unitario ARS]]-(Tabla2[[#This Row],[Precio Unitario ARS]]*Tabla2[[#This Row],[DTO]]))*Tabla2[[#This Row],[Cantidad]]</f>
        <v>97800</v>
      </c>
      <c r="N227" s="39">
        <f>Tabla2[[#This Row],[Subtotal ARS]]+(Tabla2[[#This Row],[Subtotal ARS]]*Tabla2[[#This Row],[IVA]])</f>
        <v>118338</v>
      </c>
      <c r="O227" s="39">
        <f>Tabla2[[#This Row],[TOTAL ARS]]/Tabla2[[#This Row],[TC BNA]]</f>
        <v>78.629900332225915</v>
      </c>
      <c r="P227" s="40">
        <f>_xlfn.XLOOKUP(A227,'TC_BNA xlsx'!A:A,'TC_BNA xlsx'!C:C,"No encontrado")</f>
        <v>1505</v>
      </c>
      <c r="Q227" s="22"/>
    </row>
    <row r="228" spans="1:17" x14ac:dyDescent="0.25">
      <c r="A228" s="32">
        <v>46225</v>
      </c>
      <c r="B228" s="21">
        <f>MONTH(Tabla2[[#This Row],[Fecha]])</f>
        <v>7</v>
      </c>
      <c r="C228" s="22" t="s">
        <v>168</v>
      </c>
      <c r="D228" s="23" t="str">
        <f>IFERROR(_xlfn.XLOOKUP(Tabla2[[#This Row],[Artículo]],Tabla1[Artículos],Tabla1[Rubro]),"")</f>
        <v>Reventa</v>
      </c>
      <c r="E228" s="33" t="s">
        <v>149</v>
      </c>
      <c r="F228" s="34">
        <v>25</v>
      </c>
      <c r="G228" s="33" t="s">
        <v>150</v>
      </c>
      <c r="H228" s="35">
        <v>4185</v>
      </c>
      <c r="I228" s="36">
        <f>Tabla2[[#This Row],[Precio Unitario ARS]]/Tabla2[[#This Row],[TC BNA]]</f>
        <v>2.7807308970099669</v>
      </c>
      <c r="J228" s="28">
        <v>0</v>
      </c>
      <c r="K228" s="33" t="s">
        <v>19</v>
      </c>
      <c r="L228" s="37">
        <v>0.21</v>
      </c>
      <c r="M228" s="38">
        <f>(Tabla2[[#This Row],[Precio Unitario ARS]]-(Tabla2[[#This Row],[Precio Unitario ARS]]*Tabla2[[#This Row],[DTO]]))*Tabla2[[#This Row],[Cantidad]]</f>
        <v>104625</v>
      </c>
      <c r="N228" s="39">
        <f>Tabla2[[#This Row],[Subtotal ARS]]+(Tabla2[[#This Row],[Subtotal ARS]]*Tabla2[[#This Row],[IVA]])</f>
        <v>126596.25</v>
      </c>
      <c r="O228" s="39">
        <f>Tabla2[[#This Row],[TOTAL ARS]]/Tabla2[[#This Row],[TC BNA]]</f>
        <v>84.117109634551497</v>
      </c>
      <c r="P228" s="40">
        <f>_xlfn.XLOOKUP(A228,'TC_BNA xlsx'!A:A,'TC_BNA xlsx'!C:C,"No encontrado")</f>
        <v>1505</v>
      </c>
      <c r="Q228" s="22"/>
    </row>
    <row r="229" spans="1:17" x14ac:dyDescent="0.25">
      <c r="A229" s="32">
        <v>46225</v>
      </c>
      <c r="B229" s="21">
        <f>MONTH(Tabla2[[#This Row],[Fecha]])</f>
        <v>7</v>
      </c>
      <c r="C229" s="22" t="s">
        <v>143</v>
      </c>
      <c r="D229" s="23" t="str">
        <f>IFERROR(_xlfn.XLOOKUP(Tabla2[[#This Row],[Artículo]],Tabla1[Artículos],Tabla1[Rubro]),"")</f>
        <v>Reventa</v>
      </c>
      <c r="E229" s="33" t="s">
        <v>149</v>
      </c>
      <c r="F229" s="34">
        <v>5000</v>
      </c>
      <c r="G229" s="33" t="s">
        <v>25</v>
      </c>
      <c r="H229" s="35">
        <v>235.44</v>
      </c>
      <c r="I229" s="36">
        <f>Tabla2[[#This Row],[Precio Unitario ARS]]/Tabla2[[#This Row],[TC BNA]]</f>
        <v>0.15643853820598005</v>
      </c>
      <c r="J229" s="28">
        <v>0</v>
      </c>
      <c r="K229" s="33" t="s">
        <v>19</v>
      </c>
      <c r="L229" s="37">
        <v>0.21</v>
      </c>
      <c r="M229" s="38">
        <f>(Tabla2[[#This Row],[Precio Unitario ARS]]-(Tabla2[[#This Row],[Precio Unitario ARS]]*Tabla2[[#This Row],[DTO]]))*Tabla2[[#This Row],[Cantidad]]</f>
        <v>1177200</v>
      </c>
      <c r="N229" s="39">
        <f>Tabla2[[#This Row],[Subtotal ARS]]+(Tabla2[[#This Row],[Subtotal ARS]]*Tabla2[[#This Row],[IVA]])</f>
        <v>1424412</v>
      </c>
      <c r="O229" s="39">
        <f>Tabla2[[#This Row],[TOTAL ARS]]/Tabla2[[#This Row],[TC BNA]]</f>
        <v>946.45315614617937</v>
      </c>
      <c r="P229" s="40">
        <f>_xlfn.XLOOKUP(A229,'TC_BNA xlsx'!A:A,'TC_BNA xlsx'!C:C,"No encontrado")</f>
        <v>1505</v>
      </c>
      <c r="Q229" s="22"/>
    </row>
    <row r="230" spans="1:17" x14ac:dyDescent="0.25">
      <c r="A230" s="20">
        <v>46225</v>
      </c>
      <c r="B230" s="21">
        <f>MONTH(Tabla2[[#This Row],[Fecha]])</f>
        <v>7</v>
      </c>
      <c r="C230" s="22" t="s">
        <v>169</v>
      </c>
      <c r="D230" s="23" t="str">
        <f>IFERROR(_xlfn.XLOOKUP(Tabla2[[#This Row],[Artículo]],Tabla1[Artículos],Tabla1[Rubro]),"")</f>
        <v>Reventa</v>
      </c>
      <c r="E230" s="24" t="s">
        <v>149</v>
      </c>
      <c r="F230" s="25">
        <v>10000</v>
      </c>
      <c r="G230" s="33"/>
      <c r="H230" s="26">
        <v>12.5</v>
      </c>
      <c r="I230" s="27">
        <f>Tabla2[[#This Row],[Precio Unitario ARS]]/Tabla2[[#This Row],[TC BNA]]</f>
        <v>8.3056478405315621E-3</v>
      </c>
      <c r="J230" s="28">
        <v>0</v>
      </c>
      <c r="K230" s="24" t="s">
        <v>19</v>
      </c>
      <c r="L230" s="29">
        <v>0.21</v>
      </c>
      <c r="M230" s="30">
        <f>(Tabla2[[#This Row],[Precio Unitario ARS]]-(Tabla2[[#This Row],[Precio Unitario ARS]]*Tabla2[[#This Row],[DTO]]))*Tabla2[[#This Row],[Cantidad]]</f>
        <v>125000</v>
      </c>
      <c r="N230" s="31">
        <f>Tabla2[[#This Row],[Subtotal ARS]]+(Tabla2[[#This Row],[Subtotal ARS]]*Tabla2[[#This Row],[IVA]])</f>
        <v>151250</v>
      </c>
      <c r="O230" s="31">
        <f>Tabla2[[#This Row],[TOTAL ARS]]/Tabla2[[#This Row],[TC BNA]]</f>
        <v>100.49833887043189</v>
      </c>
      <c r="P230" s="21">
        <f>_xlfn.XLOOKUP(A230,'TC_BNA xlsx'!A:A,'TC_BNA xlsx'!C:C,"No encontrado")</f>
        <v>1505</v>
      </c>
      <c r="Q230" s="23"/>
    </row>
    <row r="231" spans="1:17" x14ac:dyDescent="0.25">
      <c r="A231" s="32">
        <v>46225</v>
      </c>
      <c r="B231" s="21">
        <f>MONTH(Tabla2[[#This Row],[Fecha]])</f>
        <v>7</v>
      </c>
      <c r="C231" s="22" t="s">
        <v>312</v>
      </c>
      <c r="D231" s="41" t="str">
        <f>IFERROR(_xlfn.XLOOKUP(Tabla2[[#This Row],[Artículo]],Tabla1[Artículos],Tabla1[Rubro]),"")</f>
        <v>Herramientas</v>
      </c>
      <c r="E231" s="33" t="s">
        <v>118</v>
      </c>
      <c r="F231" s="34">
        <v>1</v>
      </c>
      <c r="G231" s="24" t="s">
        <v>25</v>
      </c>
      <c r="H231" s="35">
        <v>28000</v>
      </c>
      <c r="I231" s="36">
        <f>Tabla2[[#This Row],[Precio Unitario ARS]]/Tabla2[[#This Row],[TC BNA]]</f>
        <v>18.604651162790699</v>
      </c>
      <c r="J231" s="28">
        <v>0.1</v>
      </c>
      <c r="K231" s="24" t="s">
        <v>19</v>
      </c>
      <c r="L231" s="29">
        <v>0.21</v>
      </c>
      <c r="M231" s="38">
        <f>(Tabla2[[#This Row],[Precio Unitario ARS]]-(Tabla2[[#This Row],[Precio Unitario ARS]]*Tabla2[[#This Row],[DTO]]))*Tabla2[[#This Row],[Cantidad]]</f>
        <v>25200</v>
      </c>
      <c r="N231" s="39">
        <f>Tabla2[[#This Row],[Subtotal ARS]]+(Tabla2[[#This Row],[Subtotal ARS]]*Tabla2[[#This Row],[IVA]])</f>
        <v>30492</v>
      </c>
      <c r="O231" s="39">
        <f>Tabla2[[#This Row],[TOTAL ARS]]/Tabla2[[#This Row],[TC BNA]]</f>
        <v>20.260465116279068</v>
      </c>
      <c r="P231" s="40">
        <f>_xlfn.XLOOKUP(A231,'TC_BNA xlsx'!A:A,'TC_BNA xlsx'!C:C,"No encontrado")</f>
        <v>1505</v>
      </c>
      <c r="Q231" s="22"/>
    </row>
    <row r="232" spans="1:17" x14ac:dyDescent="0.25">
      <c r="A232" s="32">
        <v>46225</v>
      </c>
      <c r="B232" s="21">
        <f>MONTH(Tabla2[[#This Row],[Fecha]])</f>
        <v>7</v>
      </c>
      <c r="C232" s="22" t="s">
        <v>312</v>
      </c>
      <c r="D232" s="41" t="str">
        <f>IFERROR(_xlfn.XLOOKUP(Tabla2[[#This Row],[Artículo]],Tabla1[Artículos],Tabla1[Rubro]),"")</f>
        <v>Herramientas</v>
      </c>
      <c r="E232" s="33" t="s">
        <v>118</v>
      </c>
      <c r="F232" s="34">
        <v>1</v>
      </c>
      <c r="G232" s="24" t="s">
        <v>25</v>
      </c>
      <c r="H232" s="35">
        <v>37000</v>
      </c>
      <c r="I232" s="36">
        <f>Tabla2[[#This Row],[Precio Unitario ARS]]/Tabla2[[#This Row],[TC BNA]]</f>
        <v>24.58471760797342</v>
      </c>
      <c r="J232" s="28">
        <v>0.1</v>
      </c>
      <c r="K232" s="24" t="s">
        <v>19</v>
      </c>
      <c r="L232" s="29">
        <v>0.21</v>
      </c>
      <c r="M232" s="38">
        <f>(Tabla2[[#This Row],[Precio Unitario ARS]]-(Tabla2[[#This Row],[Precio Unitario ARS]]*Tabla2[[#This Row],[DTO]]))*Tabla2[[#This Row],[Cantidad]]</f>
        <v>33300</v>
      </c>
      <c r="N232" s="39">
        <f>Tabla2[[#This Row],[Subtotal ARS]]+(Tabla2[[#This Row],[Subtotal ARS]]*Tabla2[[#This Row],[IVA]])</f>
        <v>40293</v>
      </c>
      <c r="O232" s="39">
        <f>Tabla2[[#This Row],[TOTAL ARS]]/Tabla2[[#This Row],[TC BNA]]</f>
        <v>26.772757475083058</v>
      </c>
      <c r="P232" s="40">
        <f>_xlfn.XLOOKUP(A232,'TC_BNA xlsx'!A:A,'TC_BNA xlsx'!C:C,"No encontrado")</f>
        <v>1505</v>
      </c>
      <c r="Q232" s="22"/>
    </row>
    <row r="233" spans="1:17" x14ac:dyDescent="0.25">
      <c r="A233" s="32">
        <v>46225</v>
      </c>
      <c r="B233" s="21">
        <f>MONTH(Tabla2[[#This Row],[Fecha]])</f>
        <v>7</v>
      </c>
      <c r="C233" s="22" t="s">
        <v>67</v>
      </c>
      <c r="D233" s="41" t="str">
        <f>IFERROR(_xlfn.XLOOKUP(Tabla2[[#This Row],[Artículo]],Tabla1[Artículos],Tabla1[Rubro]),"")</f>
        <v>Herramientas</v>
      </c>
      <c r="E233" s="33" t="s">
        <v>118</v>
      </c>
      <c r="F233" s="34">
        <v>2</v>
      </c>
      <c r="G233" s="24" t="s">
        <v>25</v>
      </c>
      <c r="H233" s="35">
        <v>59500</v>
      </c>
      <c r="I233" s="36">
        <f>Tabla2[[#This Row],[Precio Unitario ARS]]/Tabla2[[#This Row],[TC BNA]]</f>
        <v>39.534883720930232</v>
      </c>
      <c r="J233" s="28">
        <v>0</v>
      </c>
      <c r="K233" s="24" t="s">
        <v>19</v>
      </c>
      <c r="L233" s="29">
        <v>0.21</v>
      </c>
      <c r="M233" s="38">
        <f>(Tabla2[[#This Row],[Precio Unitario ARS]]-(Tabla2[[#This Row],[Precio Unitario ARS]]*Tabla2[[#This Row],[DTO]]))*Tabla2[[#This Row],[Cantidad]]</f>
        <v>119000</v>
      </c>
      <c r="N233" s="39">
        <f>Tabla2[[#This Row],[Subtotal ARS]]+(Tabla2[[#This Row],[Subtotal ARS]]*Tabla2[[#This Row],[IVA]])</f>
        <v>143990</v>
      </c>
      <c r="O233" s="39">
        <f>Tabla2[[#This Row],[TOTAL ARS]]/Tabla2[[#This Row],[TC BNA]]</f>
        <v>95.674418604651166</v>
      </c>
      <c r="P233" s="40">
        <f>_xlfn.XLOOKUP(A233,'TC_BNA xlsx'!A:A,'TC_BNA xlsx'!C:C,"No encontrado")</f>
        <v>1505</v>
      </c>
      <c r="Q233" s="22"/>
    </row>
    <row r="234" spans="1:17" x14ac:dyDescent="0.25">
      <c r="A234" s="32">
        <v>46227</v>
      </c>
      <c r="B234" s="21">
        <f>MONTH(Tabla2[[#This Row],[Fecha]])</f>
        <v>7</v>
      </c>
      <c r="C234" s="22" t="s">
        <v>190</v>
      </c>
      <c r="D234" s="41" t="str">
        <f>IFERROR(_xlfn.XLOOKUP(Tabla2[[#This Row],[Artículo]],Tabla1[Artículos],Tabla1[Rubro]),"")</f>
        <v>Limpieza</v>
      </c>
      <c r="E234" s="33" t="s">
        <v>167</v>
      </c>
      <c r="F234" s="34">
        <v>8</v>
      </c>
      <c r="G234" s="33" t="s">
        <v>17</v>
      </c>
      <c r="H234" s="35">
        <v>7300</v>
      </c>
      <c r="I234" s="36">
        <f>Tabla2[[#This Row],[Precio Unitario ARS]]/Tabla2[[#This Row],[TC BNA]]</f>
        <v>4.8184818481848186</v>
      </c>
      <c r="J234" s="28">
        <v>0</v>
      </c>
      <c r="K234" s="24" t="s">
        <v>19</v>
      </c>
      <c r="L234" s="29"/>
      <c r="M234" s="38">
        <f>(Tabla2[[#This Row],[Precio Unitario ARS]]-(Tabla2[[#This Row],[Precio Unitario ARS]]*Tabla2[[#This Row],[DTO]]))*Tabla2[[#This Row],[Cantidad]]</f>
        <v>58400</v>
      </c>
      <c r="N234" s="39">
        <f>Tabla2[[#This Row],[Subtotal ARS]]+(Tabla2[[#This Row],[Subtotal ARS]]*Tabla2[[#This Row],[IVA]])</f>
        <v>58400</v>
      </c>
      <c r="O234" s="39">
        <f>Tabla2[[#This Row],[TOTAL ARS]]/Tabla2[[#This Row],[TC BNA]]</f>
        <v>38.547854785478549</v>
      </c>
      <c r="P234" s="40">
        <f>_xlfn.XLOOKUP(A234,'TC_BNA xlsx'!A:A,'TC_BNA xlsx'!C:C,"No encontrado")</f>
        <v>1515</v>
      </c>
      <c r="Q234" s="22"/>
    </row>
    <row r="235" spans="1:17" x14ac:dyDescent="0.25">
      <c r="A235" s="32">
        <v>46227</v>
      </c>
      <c r="B235" s="21">
        <f>MONTH(Tabla2[[#This Row],[Fecha]])</f>
        <v>7</v>
      </c>
      <c r="C235" s="22" t="s">
        <v>194</v>
      </c>
      <c r="D235" s="41" t="str">
        <f>IFERROR(_xlfn.XLOOKUP(Tabla2[[#This Row],[Artículo]],Tabla1[Artículos],Tabla1[Rubro]),"")</f>
        <v>Limpieza</v>
      </c>
      <c r="E235" s="33" t="s">
        <v>167</v>
      </c>
      <c r="F235" s="34">
        <v>10</v>
      </c>
      <c r="G235" s="33" t="s">
        <v>17</v>
      </c>
      <c r="H235" s="35">
        <v>9900</v>
      </c>
      <c r="I235" s="36">
        <f>Tabla2[[#This Row],[Precio Unitario ARS]]/Tabla2[[#This Row],[TC BNA]]</f>
        <v>6.5346534653465342</v>
      </c>
      <c r="J235" s="28">
        <v>0</v>
      </c>
      <c r="K235" s="24" t="s">
        <v>19</v>
      </c>
      <c r="L235" s="29"/>
      <c r="M235" s="38">
        <f>(Tabla2[[#This Row],[Precio Unitario ARS]]-(Tabla2[[#This Row],[Precio Unitario ARS]]*Tabla2[[#This Row],[DTO]]))*Tabla2[[#This Row],[Cantidad]]</f>
        <v>99000</v>
      </c>
      <c r="N235" s="39">
        <f>Tabla2[[#This Row],[Subtotal ARS]]+(Tabla2[[#This Row],[Subtotal ARS]]*Tabla2[[#This Row],[IVA]])</f>
        <v>99000</v>
      </c>
      <c r="O235" s="39">
        <f>Tabla2[[#This Row],[TOTAL ARS]]/Tabla2[[#This Row],[TC BNA]]</f>
        <v>65.346534653465341</v>
      </c>
      <c r="P235" s="40">
        <f>_xlfn.XLOOKUP(A235,'TC_BNA xlsx'!A:A,'TC_BNA xlsx'!C:C,"No encontrado")</f>
        <v>1515</v>
      </c>
      <c r="Q235" s="22"/>
    </row>
    <row r="236" spans="1:17" x14ac:dyDescent="0.25">
      <c r="A236" s="32">
        <v>46230</v>
      </c>
      <c r="B236" s="21">
        <f>MONTH(Tabla2[[#This Row],[Fecha]])</f>
        <v>7</v>
      </c>
      <c r="C236" s="22" t="s">
        <v>93</v>
      </c>
      <c r="D236" s="41" t="str">
        <f>IFERROR(_xlfn.XLOOKUP(Tabla2[[#This Row],[Artículo]],Tabla1[Artículos],Tabla1[Rubro]),"")</f>
        <v>Soldadura</v>
      </c>
      <c r="E236" s="33" t="s">
        <v>121</v>
      </c>
      <c r="F236" s="34">
        <v>20</v>
      </c>
      <c r="G236" s="33" t="s">
        <v>156</v>
      </c>
      <c r="H236" s="35">
        <v>18500</v>
      </c>
      <c r="I236" s="36">
        <f>Tabla2[[#This Row],[Precio Unitario ARS]]/Tabla2[[#This Row],[TC BNA]]</f>
        <v>12.171052631578947</v>
      </c>
      <c r="J236" s="28">
        <v>0</v>
      </c>
      <c r="K236" s="33" t="s">
        <v>19</v>
      </c>
      <c r="L236" s="37"/>
      <c r="M236" s="38">
        <f>(Tabla2[[#This Row],[Precio Unitario ARS]]-(Tabla2[[#This Row],[Precio Unitario ARS]]*Tabla2[[#This Row],[DTO]]))*Tabla2[[#This Row],[Cantidad]]</f>
        <v>370000</v>
      </c>
      <c r="N236" s="39">
        <f>Tabla2[[#This Row],[Subtotal ARS]]+(Tabla2[[#This Row],[Subtotal ARS]]*Tabla2[[#This Row],[IVA]])</f>
        <v>370000</v>
      </c>
      <c r="O236" s="39">
        <f>Tabla2[[#This Row],[TOTAL ARS]]/Tabla2[[#This Row],[TC BNA]]</f>
        <v>243.42105263157896</v>
      </c>
      <c r="P236" s="40">
        <f>_xlfn.XLOOKUP(A236,'TC_BNA xlsx'!A:A,'TC_BNA xlsx'!C:C,"No encontrado")</f>
        <v>1520</v>
      </c>
      <c r="Q236" s="22"/>
    </row>
    <row r="237" spans="1:17" x14ac:dyDescent="0.25">
      <c r="A237" s="32">
        <v>46230</v>
      </c>
      <c r="B237" s="21">
        <f>MONTH(Tabla2[[#This Row],[Fecha]])</f>
        <v>7</v>
      </c>
      <c r="C237" s="22" t="s">
        <v>81</v>
      </c>
      <c r="D237" s="41" t="str">
        <f>IFERROR(_xlfn.XLOOKUP(Tabla2[[#This Row],[Artículo]],Tabla1[Artículos],Tabla1[Rubro]),"")</f>
        <v>Soldadura</v>
      </c>
      <c r="E237" s="33" t="s">
        <v>121</v>
      </c>
      <c r="F237" s="34">
        <v>2</v>
      </c>
      <c r="G237" s="33" t="s">
        <v>164</v>
      </c>
      <c r="H237" s="35">
        <v>80000</v>
      </c>
      <c r="I237" s="36">
        <f>Tabla2[[#This Row],[Precio Unitario ARS]]/Tabla2[[#This Row],[TC BNA]]</f>
        <v>52.631578947368418</v>
      </c>
      <c r="J237" s="28">
        <v>0</v>
      </c>
      <c r="K237" s="33" t="s">
        <v>19</v>
      </c>
      <c r="L237" s="37"/>
      <c r="M237" s="38">
        <f>(Tabla2[[#This Row],[Precio Unitario ARS]]-(Tabla2[[#This Row],[Precio Unitario ARS]]*Tabla2[[#This Row],[DTO]]))*Tabla2[[#This Row],[Cantidad]]</f>
        <v>160000</v>
      </c>
      <c r="N237" s="39">
        <f>Tabla2[[#This Row],[Subtotal ARS]]+(Tabla2[[#This Row],[Subtotal ARS]]*Tabla2[[#This Row],[IVA]])</f>
        <v>160000</v>
      </c>
      <c r="O237" s="39">
        <f>Tabla2[[#This Row],[TOTAL ARS]]/Tabla2[[#This Row],[TC BNA]]</f>
        <v>105.26315789473684</v>
      </c>
      <c r="P237" s="40">
        <f>_xlfn.XLOOKUP(A237,'TC_BNA xlsx'!A:A,'TC_BNA xlsx'!C:C,"No encontrado")</f>
        <v>1520</v>
      </c>
      <c r="Q237" s="22"/>
    </row>
    <row r="238" spans="1:17" x14ac:dyDescent="0.25">
      <c r="A238" s="32">
        <v>46230</v>
      </c>
      <c r="B238" s="21">
        <f>MONTH(Tabla2[[#This Row],[Fecha]])</f>
        <v>7</v>
      </c>
      <c r="C238" s="22" t="s">
        <v>183</v>
      </c>
      <c r="D238" s="41" t="str">
        <f>IFERROR(_xlfn.XLOOKUP(Tabla2[[#This Row],[Artículo]],Tabla1[Artículos],Tabla1[Rubro]),"")</f>
        <v>Limpieza</v>
      </c>
      <c r="E238" s="33" t="s">
        <v>214</v>
      </c>
      <c r="F238" s="34">
        <v>5</v>
      </c>
      <c r="G238" s="33" t="s">
        <v>25</v>
      </c>
      <c r="H238" s="35">
        <v>3462.8</v>
      </c>
      <c r="I238" s="36">
        <f>Tabla2[[#This Row],[Precio Unitario ARS]]/Tabla2[[#This Row],[TC BNA]]</f>
        <v>2.2781578947368422</v>
      </c>
      <c r="J238" s="28">
        <v>0</v>
      </c>
      <c r="K238" s="33" t="s">
        <v>19</v>
      </c>
      <c r="L238" s="37">
        <v>0.21</v>
      </c>
      <c r="M238" s="38">
        <f>(Tabla2[[#This Row],[Precio Unitario ARS]]-(Tabla2[[#This Row],[Precio Unitario ARS]]*Tabla2[[#This Row],[DTO]]))*Tabla2[[#This Row],[Cantidad]]</f>
        <v>17314</v>
      </c>
      <c r="N238" s="39">
        <f>Tabla2[[#This Row],[Subtotal ARS]]+(Tabla2[[#This Row],[Subtotal ARS]]*Tabla2[[#This Row],[IVA]])</f>
        <v>20949.939999999999</v>
      </c>
      <c r="O238" s="39">
        <f>Tabla2[[#This Row],[TOTAL ARS]]/Tabla2[[#This Row],[TC BNA]]</f>
        <v>13.782855263157893</v>
      </c>
      <c r="P238" s="40">
        <f>_xlfn.XLOOKUP(A238,'TC_BNA xlsx'!A:A,'TC_BNA xlsx'!C:C,"No encontrado")</f>
        <v>1520</v>
      </c>
      <c r="Q238" s="22"/>
    </row>
    <row r="239" spans="1:17" x14ac:dyDescent="0.25">
      <c r="A239" s="32">
        <v>46230</v>
      </c>
      <c r="B239" s="21">
        <f>MONTH(Tabla2[[#This Row],[Fecha]])</f>
        <v>7</v>
      </c>
      <c r="C239" s="22" t="s">
        <v>185</v>
      </c>
      <c r="D239" s="41" t="str">
        <f>IFERROR(_xlfn.XLOOKUP(Tabla2[[#This Row],[Artículo]],Tabla1[Artículos],Tabla1[Rubro]),"")</f>
        <v>Limpieza</v>
      </c>
      <c r="E239" s="33" t="s">
        <v>214</v>
      </c>
      <c r="F239" s="34">
        <v>15</v>
      </c>
      <c r="G239" s="33" t="s">
        <v>325</v>
      </c>
      <c r="H239" s="35">
        <v>611.57000000000005</v>
      </c>
      <c r="I239" s="36">
        <f>Tabla2[[#This Row],[Precio Unitario ARS]]/Tabla2[[#This Row],[TC BNA]]</f>
        <v>0.40234868421052633</v>
      </c>
      <c r="J239" s="28">
        <v>0</v>
      </c>
      <c r="K239" s="33" t="s">
        <v>19</v>
      </c>
      <c r="L239" s="37">
        <v>0.21</v>
      </c>
      <c r="M239" s="38">
        <f>(Tabla2[[#This Row],[Precio Unitario ARS]]-(Tabla2[[#This Row],[Precio Unitario ARS]]*Tabla2[[#This Row],[DTO]]))*Tabla2[[#This Row],[Cantidad]]</f>
        <v>9173.5500000000011</v>
      </c>
      <c r="N239" s="39">
        <f>Tabla2[[#This Row],[Subtotal ARS]]+(Tabla2[[#This Row],[Subtotal ARS]]*Tabla2[[#This Row],[IVA]])</f>
        <v>11099.995500000001</v>
      </c>
      <c r="O239" s="39">
        <f>Tabla2[[#This Row],[TOTAL ARS]]/Tabla2[[#This Row],[TC BNA]]</f>
        <v>7.3026286184210534</v>
      </c>
      <c r="P239" s="40">
        <f>_xlfn.XLOOKUP(A239,'TC_BNA xlsx'!A:A,'TC_BNA xlsx'!C:C,"No encontrado")</f>
        <v>1520</v>
      </c>
      <c r="Q239" s="22"/>
    </row>
    <row r="240" spans="1:17" x14ac:dyDescent="0.25">
      <c r="A240" s="32">
        <v>46230</v>
      </c>
      <c r="B240" s="21">
        <f>MONTH(Tabla2[[#This Row],[Fecha]])</f>
        <v>7</v>
      </c>
      <c r="C240" s="22" t="s">
        <v>186</v>
      </c>
      <c r="D240" s="41" t="str">
        <f>IFERROR(_xlfn.XLOOKUP(Tabla2[[#This Row],[Artículo]],Tabla1[Artículos],Tabla1[Rubro]),"")</f>
        <v>Limpieza</v>
      </c>
      <c r="E240" s="33" t="s">
        <v>214</v>
      </c>
      <c r="F240" s="34">
        <v>10</v>
      </c>
      <c r="G240" s="33" t="s">
        <v>325</v>
      </c>
      <c r="H240" s="35">
        <v>1876.03</v>
      </c>
      <c r="I240" s="36">
        <f>Tabla2[[#This Row],[Precio Unitario ARS]]/Tabla2[[#This Row],[TC BNA]]</f>
        <v>1.2342302631578947</v>
      </c>
      <c r="J240" s="28">
        <v>0</v>
      </c>
      <c r="K240" s="33" t="s">
        <v>19</v>
      </c>
      <c r="L240" s="37">
        <v>0.21</v>
      </c>
      <c r="M240" s="38">
        <f>(Tabla2[[#This Row],[Precio Unitario ARS]]-(Tabla2[[#This Row],[Precio Unitario ARS]]*Tabla2[[#This Row],[DTO]]))*Tabla2[[#This Row],[Cantidad]]</f>
        <v>18760.3</v>
      </c>
      <c r="N240" s="39">
        <f>Tabla2[[#This Row],[Subtotal ARS]]+(Tabla2[[#This Row],[Subtotal ARS]]*Tabla2[[#This Row],[IVA]])</f>
        <v>22699.963</v>
      </c>
      <c r="O240" s="39">
        <f>Tabla2[[#This Row],[TOTAL ARS]]/Tabla2[[#This Row],[TC BNA]]</f>
        <v>14.934186184210526</v>
      </c>
      <c r="P240" s="40">
        <f>_xlfn.XLOOKUP(A240,'TC_BNA xlsx'!A:A,'TC_BNA xlsx'!C:C,"No encontrado")</f>
        <v>1520</v>
      </c>
      <c r="Q240" s="22"/>
    </row>
    <row r="241" spans="1:17" x14ac:dyDescent="0.25">
      <c r="A241" s="32">
        <v>46230</v>
      </c>
      <c r="B241" s="21">
        <f>MONTH(Tabla2[[#This Row],[Fecha]])</f>
        <v>7</v>
      </c>
      <c r="C241" s="22" t="s">
        <v>187</v>
      </c>
      <c r="D241" s="41" t="str">
        <f>IFERROR(_xlfn.XLOOKUP(Tabla2[[#This Row],[Artículo]],Tabla1[Artículos],Tabla1[Rubro]),"")</f>
        <v>Limpieza</v>
      </c>
      <c r="E241" s="33" t="s">
        <v>214</v>
      </c>
      <c r="F241" s="34">
        <v>2</v>
      </c>
      <c r="G241" s="33" t="s">
        <v>25</v>
      </c>
      <c r="H241" s="35">
        <v>553.71</v>
      </c>
      <c r="I241" s="36">
        <f>Tabla2[[#This Row],[Precio Unitario ARS]]/Tabla2[[#This Row],[TC BNA]]</f>
        <v>0.36428289473684211</v>
      </c>
      <c r="J241" s="28">
        <v>0</v>
      </c>
      <c r="K241" s="33" t="s">
        <v>19</v>
      </c>
      <c r="L241" s="37">
        <v>0.21</v>
      </c>
      <c r="M241" s="38">
        <f>(Tabla2[[#This Row],[Precio Unitario ARS]]-(Tabla2[[#This Row],[Precio Unitario ARS]]*Tabla2[[#This Row],[DTO]]))*Tabla2[[#This Row],[Cantidad]]</f>
        <v>1107.42</v>
      </c>
      <c r="N241" s="39">
        <f>Tabla2[[#This Row],[Subtotal ARS]]+(Tabla2[[#This Row],[Subtotal ARS]]*Tabla2[[#This Row],[IVA]])</f>
        <v>1339.9782</v>
      </c>
      <c r="O241" s="39">
        <f>Tabla2[[#This Row],[TOTAL ARS]]/Tabla2[[#This Row],[TC BNA]]</f>
        <v>0.88156460526315794</v>
      </c>
      <c r="P241" s="40">
        <f>_xlfn.XLOOKUP(A241,'TC_BNA xlsx'!A:A,'TC_BNA xlsx'!C:C,"No encontrado")</f>
        <v>1520</v>
      </c>
      <c r="Q241" s="22"/>
    </row>
    <row r="242" spans="1:17" x14ac:dyDescent="0.25">
      <c r="A242" s="32">
        <v>46230</v>
      </c>
      <c r="B242" s="21">
        <f>MONTH(Tabla2[[#This Row],[Fecha]])</f>
        <v>7</v>
      </c>
      <c r="C242" s="22" t="s">
        <v>188</v>
      </c>
      <c r="D242" s="41" t="str">
        <f>IFERROR(_xlfn.XLOOKUP(Tabla2[[#This Row],[Artículo]],Tabla1[Artículos],Tabla1[Rubro]),"")</f>
        <v>Limpieza</v>
      </c>
      <c r="E242" s="33" t="s">
        <v>214</v>
      </c>
      <c r="F242" s="34">
        <v>5</v>
      </c>
      <c r="G242" s="33" t="s">
        <v>326</v>
      </c>
      <c r="H242" s="35">
        <v>2933.88</v>
      </c>
      <c r="I242" s="36">
        <f>Tabla2[[#This Row],[Precio Unitario ARS]]/Tabla2[[#This Row],[TC BNA]]</f>
        <v>1.9301842105263158</v>
      </c>
      <c r="J242" s="28">
        <v>0</v>
      </c>
      <c r="K242" s="33" t="s">
        <v>19</v>
      </c>
      <c r="L242" s="37">
        <v>0.21</v>
      </c>
      <c r="M242" s="38">
        <f>(Tabla2[[#This Row],[Precio Unitario ARS]]-(Tabla2[[#This Row],[Precio Unitario ARS]]*Tabla2[[#This Row],[DTO]]))*Tabla2[[#This Row],[Cantidad]]</f>
        <v>14669.400000000001</v>
      </c>
      <c r="N242" s="39">
        <f>Tabla2[[#This Row],[Subtotal ARS]]+(Tabla2[[#This Row],[Subtotal ARS]]*Tabla2[[#This Row],[IVA]])</f>
        <v>17749.974000000002</v>
      </c>
      <c r="O242" s="39">
        <f>Tabla2[[#This Row],[TOTAL ARS]]/Tabla2[[#This Row],[TC BNA]]</f>
        <v>11.677614473684212</v>
      </c>
      <c r="P242" s="40">
        <f>_xlfn.XLOOKUP(A242,'TC_BNA xlsx'!A:A,'TC_BNA xlsx'!C:C,"No encontrado")</f>
        <v>1520</v>
      </c>
      <c r="Q242" s="22"/>
    </row>
    <row r="243" spans="1:17" x14ac:dyDescent="0.25">
      <c r="A243" s="32">
        <v>46230</v>
      </c>
      <c r="B243" s="21">
        <f>MONTH(Tabla2[[#This Row],[Fecha]])</f>
        <v>7</v>
      </c>
      <c r="C243" s="22" t="s">
        <v>189</v>
      </c>
      <c r="D243" s="41" t="str">
        <f>IFERROR(_xlfn.XLOOKUP(Tabla2[[#This Row],[Artículo]],Tabla1[Artículos],Tabla1[Rubro]),"")</f>
        <v>Limpieza</v>
      </c>
      <c r="E243" s="33" t="s">
        <v>214</v>
      </c>
      <c r="F243" s="34">
        <v>1</v>
      </c>
      <c r="G243" s="33" t="s">
        <v>25</v>
      </c>
      <c r="H243" s="35">
        <v>2917.35</v>
      </c>
      <c r="I243" s="36">
        <f>Tabla2[[#This Row],[Precio Unitario ARS]]/Tabla2[[#This Row],[TC BNA]]</f>
        <v>1.9193092105263156</v>
      </c>
      <c r="J243" s="28">
        <v>0</v>
      </c>
      <c r="K243" s="33" t="s">
        <v>19</v>
      </c>
      <c r="L243" s="37">
        <v>0.21</v>
      </c>
      <c r="M243" s="38">
        <f>(Tabla2[[#This Row],[Precio Unitario ARS]]-(Tabla2[[#This Row],[Precio Unitario ARS]]*Tabla2[[#This Row],[DTO]]))*Tabla2[[#This Row],[Cantidad]]</f>
        <v>2917.35</v>
      </c>
      <c r="N243" s="39">
        <f>Tabla2[[#This Row],[Subtotal ARS]]+(Tabla2[[#This Row],[Subtotal ARS]]*Tabla2[[#This Row],[IVA]])</f>
        <v>3529.9934999999996</v>
      </c>
      <c r="O243" s="39">
        <f>Tabla2[[#This Row],[TOTAL ARS]]/Tabla2[[#This Row],[TC BNA]]</f>
        <v>2.3223641447368419</v>
      </c>
      <c r="P243" s="40">
        <f>_xlfn.XLOOKUP(A243,'TC_BNA xlsx'!A:A,'TC_BNA xlsx'!C:C,"No encontrado")</f>
        <v>1520</v>
      </c>
      <c r="Q243" s="22"/>
    </row>
    <row r="244" spans="1:17" x14ac:dyDescent="0.25">
      <c r="A244" s="32">
        <v>46230</v>
      </c>
      <c r="B244" s="21">
        <f>MONTH(Tabla2[[#This Row],[Fecha]])</f>
        <v>7</v>
      </c>
      <c r="C244" s="22" t="s">
        <v>197</v>
      </c>
      <c r="D244" s="41" t="str">
        <f>IFERROR(_xlfn.XLOOKUP(Tabla2[[#This Row],[Artículo]],Tabla1[Artículos],Tabla1[Rubro]),"")</f>
        <v>Limpieza</v>
      </c>
      <c r="E244" s="33" t="s">
        <v>214</v>
      </c>
      <c r="F244" s="34">
        <v>1</v>
      </c>
      <c r="G244" s="33" t="s">
        <v>326</v>
      </c>
      <c r="H244" s="35">
        <v>9008.26</v>
      </c>
      <c r="I244" s="36">
        <f>Tabla2[[#This Row],[Precio Unitario ARS]]/Tabla2[[#This Row],[TC BNA]]</f>
        <v>5.9264868421052634</v>
      </c>
      <c r="J244" s="28">
        <v>0</v>
      </c>
      <c r="K244" s="33" t="s">
        <v>19</v>
      </c>
      <c r="L244" s="37">
        <v>0.21</v>
      </c>
      <c r="M244" s="38">
        <f>(Tabla2[[#This Row],[Precio Unitario ARS]]-(Tabla2[[#This Row],[Precio Unitario ARS]]*Tabla2[[#This Row],[DTO]]))*Tabla2[[#This Row],[Cantidad]]</f>
        <v>9008.26</v>
      </c>
      <c r="N244" s="39">
        <f>Tabla2[[#This Row],[Subtotal ARS]]+(Tabla2[[#This Row],[Subtotal ARS]]*Tabla2[[#This Row],[IVA]])</f>
        <v>10899.9946</v>
      </c>
      <c r="O244" s="39">
        <f>Tabla2[[#This Row],[TOTAL ARS]]/Tabla2[[#This Row],[TC BNA]]</f>
        <v>7.1710490789473686</v>
      </c>
      <c r="P244" s="40">
        <f>_xlfn.XLOOKUP(A244,'TC_BNA xlsx'!A:A,'TC_BNA xlsx'!C:C,"No encontrado")</f>
        <v>1520</v>
      </c>
      <c r="Q244" s="22"/>
    </row>
    <row r="245" spans="1:17" x14ac:dyDescent="0.25">
      <c r="A245" s="32">
        <v>46230</v>
      </c>
      <c r="B245" s="21">
        <f>MONTH(Tabla2[[#This Row],[Fecha]])</f>
        <v>7</v>
      </c>
      <c r="C245" s="22" t="s">
        <v>198</v>
      </c>
      <c r="D245" s="41" t="str">
        <f>IFERROR(_xlfn.XLOOKUP(Tabla2[[#This Row],[Artículo]],Tabla1[Artículos],Tabla1[Rubro]),"")</f>
        <v>Limpieza</v>
      </c>
      <c r="E245" s="33" t="s">
        <v>214</v>
      </c>
      <c r="F245" s="34">
        <v>3</v>
      </c>
      <c r="G245" s="33" t="s">
        <v>326</v>
      </c>
      <c r="H245" s="35">
        <v>9000</v>
      </c>
      <c r="I245" s="36">
        <f>Tabla2[[#This Row],[Precio Unitario ARS]]/Tabla2[[#This Row],[TC BNA]]</f>
        <v>5.9210526315789478</v>
      </c>
      <c r="J245" s="28">
        <v>0</v>
      </c>
      <c r="K245" s="33" t="s">
        <v>19</v>
      </c>
      <c r="L245" s="37">
        <v>0.21</v>
      </c>
      <c r="M245" s="38">
        <f>(Tabla2[[#This Row],[Precio Unitario ARS]]-(Tabla2[[#This Row],[Precio Unitario ARS]]*Tabla2[[#This Row],[DTO]]))*Tabla2[[#This Row],[Cantidad]]</f>
        <v>27000</v>
      </c>
      <c r="N245" s="39">
        <f>Tabla2[[#This Row],[Subtotal ARS]]+(Tabla2[[#This Row],[Subtotal ARS]]*Tabla2[[#This Row],[IVA]])</f>
        <v>32670</v>
      </c>
      <c r="O245" s="39">
        <f>Tabla2[[#This Row],[TOTAL ARS]]/Tabla2[[#This Row],[TC BNA]]</f>
        <v>21.493421052631579</v>
      </c>
      <c r="P245" s="40">
        <f>_xlfn.XLOOKUP(A245,'TC_BNA xlsx'!A:A,'TC_BNA xlsx'!C:C,"No encontrado")</f>
        <v>1520</v>
      </c>
      <c r="Q245" s="22"/>
    </row>
    <row r="246" spans="1:17" x14ac:dyDescent="0.25">
      <c r="A246" s="32">
        <v>46230</v>
      </c>
      <c r="B246" s="21">
        <f>MONTH(Tabla2[[#This Row],[Fecha]])</f>
        <v>7</v>
      </c>
      <c r="C246" s="22" t="s">
        <v>200</v>
      </c>
      <c r="D246" s="41" t="str">
        <f>IFERROR(_xlfn.XLOOKUP(Tabla2[[#This Row],[Artículo]],Tabla1[Artículos],Tabla1[Rubro]),"")</f>
        <v>Limpieza</v>
      </c>
      <c r="E246" s="33" t="s">
        <v>214</v>
      </c>
      <c r="F246" s="34">
        <v>2</v>
      </c>
      <c r="G246" s="33" t="s">
        <v>326</v>
      </c>
      <c r="H246" s="35">
        <v>3801.65</v>
      </c>
      <c r="I246" s="36">
        <f>Tabla2[[#This Row],[Precio Unitario ARS]]/Tabla2[[#This Row],[TC BNA]]</f>
        <v>2.5010855263157894</v>
      </c>
      <c r="J246" s="28">
        <v>0</v>
      </c>
      <c r="K246" s="33" t="s">
        <v>19</v>
      </c>
      <c r="L246" s="37">
        <v>0.21</v>
      </c>
      <c r="M246" s="38">
        <f>(Tabla2[[#This Row],[Precio Unitario ARS]]-(Tabla2[[#This Row],[Precio Unitario ARS]]*Tabla2[[#This Row],[DTO]]))*Tabla2[[#This Row],[Cantidad]]</f>
        <v>7603.3</v>
      </c>
      <c r="N246" s="39">
        <f>Tabla2[[#This Row],[Subtotal ARS]]+(Tabla2[[#This Row],[Subtotal ARS]]*Tabla2[[#This Row],[IVA]])</f>
        <v>9199.9930000000004</v>
      </c>
      <c r="O246" s="39">
        <f>Tabla2[[#This Row],[TOTAL ARS]]/Tabla2[[#This Row],[TC BNA]]</f>
        <v>6.0526269736842107</v>
      </c>
      <c r="P246" s="40">
        <f>_xlfn.XLOOKUP(A246,'TC_BNA xlsx'!A:A,'TC_BNA xlsx'!C:C,"No encontrado")</f>
        <v>1520</v>
      </c>
      <c r="Q246" s="22"/>
    </row>
    <row r="247" spans="1:17" x14ac:dyDescent="0.25">
      <c r="A247" s="32">
        <v>46230</v>
      </c>
      <c r="B247" s="21">
        <f>MONTH(Tabla2[[#This Row],[Fecha]])</f>
        <v>7</v>
      </c>
      <c r="C247" s="22" t="s">
        <v>203</v>
      </c>
      <c r="D247" s="41" t="str">
        <f>IFERROR(_xlfn.XLOOKUP(Tabla2[[#This Row],[Artículo]],Tabla1[Artículos],Tabla1[Rubro]),"")</f>
        <v>Limpieza</v>
      </c>
      <c r="E247" s="33" t="s">
        <v>214</v>
      </c>
      <c r="F247" s="34">
        <v>1</v>
      </c>
      <c r="G247" s="33" t="s">
        <v>326</v>
      </c>
      <c r="H247" s="35">
        <v>14380.16</v>
      </c>
      <c r="I247" s="36">
        <f>Tabla2[[#This Row],[Precio Unitario ARS]]/Tabla2[[#This Row],[TC BNA]]</f>
        <v>9.4606315789473676</v>
      </c>
      <c r="J247" s="28">
        <v>0</v>
      </c>
      <c r="K247" s="33" t="s">
        <v>19</v>
      </c>
      <c r="L247" s="37">
        <v>0.21</v>
      </c>
      <c r="M247" s="38">
        <f>(Tabla2[[#This Row],[Precio Unitario ARS]]-(Tabla2[[#This Row],[Precio Unitario ARS]]*Tabla2[[#This Row],[DTO]]))*Tabla2[[#This Row],[Cantidad]]</f>
        <v>14380.16</v>
      </c>
      <c r="N247" s="39">
        <f>Tabla2[[#This Row],[Subtotal ARS]]+(Tabla2[[#This Row],[Subtotal ARS]]*Tabla2[[#This Row],[IVA]])</f>
        <v>17399.993600000002</v>
      </c>
      <c r="O247" s="39">
        <f>Tabla2[[#This Row],[TOTAL ARS]]/Tabla2[[#This Row],[TC BNA]]</f>
        <v>11.447364210526317</v>
      </c>
      <c r="P247" s="40">
        <f>_xlfn.XLOOKUP(A247,'TC_BNA xlsx'!A:A,'TC_BNA xlsx'!C:C,"No encontrado")</f>
        <v>1520</v>
      </c>
      <c r="Q247" s="22"/>
    </row>
    <row r="248" spans="1:17" x14ac:dyDescent="0.25">
      <c r="A248" s="32">
        <v>46230</v>
      </c>
      <c r="B248" s="21">
        <f>MONTH(Tabla2[[#This Row],[Fecha]])</f>
        <v>7</v>
      </c>
      <c r="C248" s="22" t="s">
        <v>204</v>
      </c>
      <c r="D248" s="41" t="str">
        <f>IFERROR(_xlfn.XLOOKUP(Tabla2[[#This Row],[Artículo]],Tabla1[Artículos],Tabla1[Rubro]),"")</f>
        <v>Limpieza</v>
      </c>
      <c r="E248" s="33" t="s">
        <v>214</v>
      </c>
      <c r="F248" s="34">
        <v>2</v>
      </c>
      <c r="G248" s="33" t="s">
        <v>25</v>
      </c>
      <c r="H248" s="35">
        <v>12851.23</v>
      </c>
      <c r="I248" s="36">
        <f>Tabla2[[#This Row],[Precio Unitario ARS]]/Tabla2[[#This Row],[TC BNA]]</f>
        <v>8.454756578947368</v>
      </c>
      <c r="J248" s="28">
        <v>0</v>
      </c>
      <c r="K248" s="33" t="s">
        <v>19</v>
      </c>
      <c r="L248" s="37">
        <v>0.21</v>
      </c>
      <c r="M248" s="38">
        <f>(Tabla2[[#This Row],[Precio Unitario ARS]]-(Tabla2[[#This Row],[Precio Unitario ARS]]*Tabla2[[#This Row],[DTO]]))*Tabla2[[#This Row],[Cantidad]]</f>
        <v>25702.46</v>
      </c>
      <c r="N248" s="39">
        <f>Tabla2[[#This Row],[Subtotal ARS]]+(Tabla2[[#This Row],[Subtotal ARS]]*Tabla2[[#This Row],[IVA]])</f>
        <v>31099.976599999998</v>
      </c>
      <c r="O248" s="39">
        <f>Tabla2[[#This Row],[TOTAL ARS]]/Tabla2[[#This Row],[TC BNA]]</f>
        <v>20.460510921052631</v>
      </c>
      <c r="P248" s="40">
        <f>_xlfn.XLOOKUP(A248,'TC_BNA xlsx'!A:A,'TC_BNA xlsx'!C:C,"No encontrado")</f>
        <v>1520</v>
      </c>
      <c r="Q248" s="22"/>
    </row>
    <row r="249" spans="1:17" x14ac:dyDescent="0.25">
      <c r="A249" s="32">
        <v>46230</v>
      </c>
      <c r="B249" s="21">
        <f>MONTH(Tabla2[[#This Row],[Fecha]])</f>
        <v>7</v>
      </c>
      <c r="C249" s="22" t="s">
        <v>211</v>
      </c>
      <c r="D249" s="41" t="str">
        <f>IFERROR(_xlfn.XLOOKUP(Tabla2[[#This Row],[Artículo]],Tabla1[Artículos],Tabla1[Rubro]),"")</f>
        <v>Limpieza</v>
      </c>
      <c r="E249" s="33" t="s">
        <v>214</v>
      </c>
      <c r="F249" s="34">
        <v>1</v>
      </c>
      <c r="G249" s="33" t="s">
        <v>25</v>
      </c>
      <c r="H249" s="35">
        <v>743.8</v>
      </c>
      <c r="I249" s="36">
        <f>Tabla2[[#This Row],[Precio Unitario ARS]]/Tabla2[[#This Row],[TC BNA]]</f>
        <v>0.48934210526315786</v>
      </c>
      <c r="J249" s="28">
        <v>0</v>
      </c>
      <c r="K249" s="33" t="s">
        <v>19</v>
      </c>
      <c r="L249" s="37">
        <v>0.21</v>
      </c>
      <c r="M249" s="38">
        <f>(Tabla2[[#This Row],[Precio Unitario ARS]]-(Tabla2[[#This Row],[Precio Unitario ARS]]*Tabla2[[#This Row],[DTO]]))*Tabla2[[#This Row],[Cantidad]]</f>
        <v>743.8</v>
      </c>
      <c r="N249" s="39">
        <f>Tabla2[[#This Row],[Subtotal ARS]]+(Tabla2[[#This Row],[Subtotal ARS]]*Tabla2[[#This Row],[IVA]])</f>
        <v>899.99799999999993</v>
      </c>
      <c r="O249" s="39">
        <f>Tabla2[[#This Row],[TOTAL ARS]]/Tabla2[[#This Row],[TC BNA]]</f>
        <v>0.59210394736842098</v>
      </c>
      <c r="P249" s="40">
        <f>_xlfn.XLOOKUP(A249,'TC_BNA xlsx'!A:A,'TC_BNA xlsx'!C:C,"No encontrado")</f>
        <v>1520</v>
      </c>
      <c r="Q249" s="22"/>
    </row>
    <row r="250" spans="1:17" x14ac:dyDescent="0.25">
      <c r="A250" s="32">
        <v>46230</v>
      </c>
      <c r="B250" s="21">
        <f>MONTH(Tabla2[[#This Row],[Fecha]])</f>
        <v>7</v>
      </c>
      <c r="C250" s="22" t="s">
        <v>212</v>
      </c>
      <c r="D250" s="41" t="str">
        <f>IFERROR(_xlfn.XLOOKUP(Tabla2[[#This Row],[Artículo]],Tabla1[Artículos],Tabla1[Rubro]),"")</f>
        <v>Limpieza</v>
      </c>
      <c r="E250" s="33" t="s">
        <v>214</v>
      </c>
      <c r="F250" s="34">
        <v>1</v>
      </c>
      <c r="G250" s="33" t="s">
        <v>25</v>
      </c>
      <c r="H250" s="35">
        <v>1661.15</v>
      </c>
      <c r="I250" s="36">
        <f>Tabla2[[#This Row],[Precio Unitario ARS]]/Tabla2[[#This Row],[TC BNA]]</f>
        <v>1.0928618421052632</v>
      </c>
      <c r="J250" s="28">
        <v>0</v>
      </c>
      <c r="K250" s="33" t="s">
        <v>19</v>
      </c>
      <c r="L250" s="37">
        <v>0.21</v>
      </c>
      <c r="M250" s="38">
        <f>(Tabla2[[#This Row],[Precio Unitario ARS]]-(Tabla2[[#This Row],[Precio Unitario ARS]]*Tabla2[[#This Row],[DTO]]))*Tabla2[[#This Row],[Cantidad]]</f>
        <v>1661.15</v>
      </c>
      <c r="N250" s="39">
        <f>Tabla2[[#This Row],[Subtotal ARS]]+(Tabla2[[#This Row],[Subtotal ARS]]*Tabla2[[#This Row],[IVA]])</f>
        <v>2009.9915000000001</v>
      </c>
      <c r="O250" s="39">
        <f>Tabla2[[#This Row],[TOTAL ARS]]/Tabla2[[#This Row],[TC BNA]]</f>
        <v>1.3223628289473686</v>
      </c>
      <c r="P250" s="40">
        <f>_xlfn.XLOOKUP(A250,'TC_BNA xlsx'!A:A,'TC_BNA xlsx'!C:C,"No encontrado")</f>
        <v>1520</v>
      </c>
      <c r="Q250" s="22"/>
    </row>
    <row r="251" spans="1:17" x14ac:dyDescent="0.25">
      <c r="A251" s="32">
        <v>46230</v>
      </c>
      <c r="B251" s="21">
        <f>MONTH(Tabla2[[#This Row],[Fecha]])</f>
        <v>7</v>
      </c>
      <c r="C251" s="22" t="s">
        <v>213</v>
      </c>
      <c r="D251" s="41" t="str">
        <f>IFERROR(_xlfn.XLOOKUP(Tabla2[[#This Row],[Artículo]],Tabla1[Artículos],Tabla1[Rubro]),"")</f>
        <v>Limpieza</v>
      </c>
      <c r="E251" s="33" t="s">
        <v>214</v>
      </c>
      <c r="F251" s="34">
        <v>11</v>
      </c>
      <c r="G251" s="33" t="s">
        <v>25</v>
      </c>
      <c r="H251" s="35">
        <v>5099.17</v>
      </c>
      <c r="I251" s="36">
        <f>Tabla2[[#This Row],[Precio Unitario ARS]]/Tabla2[[#This Row],[TC BNA]]</f>
        <v>3.3547171052631581</v>
      </c>
      <c r="J251" s="28">
        <v>0</v>
      </c>
      <c r="K251" s="33" t="s">
        <v>19</v>
      </c>
      <c r="L251" s="37">
        <v>0.21</v>
      </c>
      <c r="M251" s="38">
        <f>(Tabla2[[#This Row],[Precio Unitario ARS]]-(Tabla2[[#This Row],[Precio Unitario ARS]]*Tabla2[[#This Row],[DTO]]))*Tabla2[[#This Row],[Cantidad]]</f>
        <v>56090.87</v>
      </c>
      <c r="N251" s="39">
        <f>Tabla2[[#This Row],[Subtotal ARS]]+(Tabla2[[#This Row],[Subtotal ARS]]*Tabla2[[#This Row],[IVA]])</f>
        <v>67869.952700000009</v>
      </c>
      <c r="O251" s="39">
        <f>Tabla2[[#This Row],[TOTAL ARS]]/Tabla2[[#This Row],[TC BNA]]</f>
        <v>44.651284671052636</v>
      </c>
      <c r="P251" s="40">
        <f>_xlfn.XLOOKUP(A251,'TC_BNA xlsx'!A:A,'TC_BNA xlsx'!C:C,"No encontrado")</f>
        <v>1520</v>
      </c>
      <c r="Q251" s="22"/>
    </row>
    <row r="252" spans="1:17" x14ac:dyDescent="0.25">
      <c r="A252" s="32">
        <v>46230</v>
      </c>
      <c r="B252" s="21">
        <f>MONTH(Tabla2[[#This Row],[Fecha]])</f>
        <v>7</v>
      </c>
      <c r="C252" s="22" t="s">
        <v>318</v>
      </c>
      <c r="D252" s="41" t="str">
        <f>IFERROR(_xlfn.XLOOKUP(Tabla2[[#This Row],[Artículo]],Tabla1[Artículos],Tabla1[Rubro]),"")</f>
        <v>Limpieza</v>
      </c>
      <c r="E252" s="33" t="s">
        <v>214</v>
      </c>
      <c r="F252" s="34">
        <v>2</v>
      </c>
      <c r="G252" s="33" t="s">
        <v>25</v>
      </c>
      <c r="H252" s="35">
        <v>46826.44</v>
      </c>
      <c r="I252" s="36">
        <f>Tabla2[[#This Row],[Precio Unitario ARS]]/Tabla2[[#This Row],[TC BNA]]</f>
        <v>30.806868421052634</v>
      </c>
      <c r="J252" s="28">
        <v>0</v>
      </c>
      <c r="K252" s="33" t="s">
        <v>19</v>
      </c>
      <c r="L252" s="37">
        <v>0.21</v>
      </c>
      <c r="M252" s="38">
        <f>(Tabla2[[#This Row],[Precio Unitario ARS]]-(Tabla2[[#This Row],[Precio Unitario ARS]]*Tabla2[[#This Row],[DTO]]))*Tabla2[[#This Row],[Cantidad]]</f>
        <v>93652.88</v>
      </c>
      <c r="N252" s="39">
        <f>Tabla2[[#This Row],[Subtotal ARS]]+(Tabla2[[#This Row],[Subtotal ARS]]*Tabla2[[#This Row],[IVA]])</f>
        <v>113319.98480000001</v>
      </c>
      <c r="O252" s="39">
        <f>Tabla2[[#This Row],[TOTAL ARS]]/Tabla2[[#This Row],[TC BNA]]</f>
        <v>74.552621578947367</v>
      </c>
      <c r="P252" s="40">
        <f>_xlfn.XLOOKUP(A252,'TC_BNA xlsx'!A:A,'TC_BNA xlsx'!C:C,"No encontrado")</f>
        <v>1520</v>
      </c>
      <c r="Q252" s="22"/>
    </row>
    <row r="253" spans="1:17" x14ac:dyDescent="0.25">
      <c r="A253" s="32">
        <v>46230</v>
      </c>
      <c r="B253" s="21">
        <f>MONTH(Tabla2[[#This Row],[Fecha]])</f>
        <v>7</v>
      </c>
      <c r="C253" s="22" t="s">
        <v>318</v>
      </c>
      <c r="D253" s="41" t="str">
        <f>IFERROR(_xlfn.XLOOKUP(Tabla2[[#This Row],[Artículo]],Tabla1[Artículos],Tabla1[Rubro]),"")</f>
        <v>Limpieza</v>
      </c>
      <c r="E253" s="33" t="s">
        <v>214</v>
      </c>
      <c r="F253" s="34">
        <v>3</v>
      </c>
      <c r="G253" s="33" t="s">
        <v>25</v>
      </c>
      <c r="H253" s="35">
        <v>14553.71</v>
      </c>
      <c r="I253" s="36">
        <f>Tabla2[[#This Row],[Precio Unitario ARS]]/Tabla2[[#This Row],[TC BNA]]</f>
        <v>9.5748092105263147</v>
      </c>
      <c r="J253" s="28">
        <v>0</v>
      </c>
      <c r="K253" s="33" t="s">
        <v>19</v>
      </c>
      <c r="L253" s="37">
        <v>0.21</v>
      </c>
      <c r="M253" s="38">
        <f>(Tabla2[[#This Row],[Precio Unitario ARS]]-(Tabla2[[#This Row],[Precio Unitario ARS]]*Tabla2[[#This Row],[DTO]]))*Tabla2[[#This Row],[Cantidad]]</f>
        <v>43661.13</v>
      </c>
      <c r="N253" s="39">
        <f>Tabla2[[#This Row],[Subtotal ARS]]+(Tabla2[[#This Row],[Subtotal ARS]]*Tabla2[[#This Row],[IVA]])</f>
        <v>52829.967299999997</v>
      </c>
      <c r="O253" s="39">
        <f>Tabla2[[#This Row],[TOTAL ARS]]/Tabla2[[#This Row],[TC BNA]]</f>
        <v>34.756557434210521</v>
      </c>
      <c r="P253" s="40">
        <f>_xlfn.XLOOKUP(A253,'TC_BNA xlsx'!A:A,'TC_BNA xlsx'!C:C,"No encontrado")</f>
        <v>1520</v>
      </c>
      <c r="Q253" s="22"/>
    </row>
    <row r="254" spans="1:17" x14ac:dyDescent="0.25">
      <c r="A254" s="32">
        <v>46230</v>
      </c>
      <c r="B254" s="21">
        <f>MONTH(Tabla2[[#This Row],[Fecha]])</f>
        <v>7</v>
      </c>
      <c r="C254" s="22" t="s">
        <v>195</v>
      </c>
      <c r="D254" s="41" t="str">
        <f>IFERROR(_xlfn.XLOOKUP(Tabla2[[#This Row],[Artículo]],Tabla1[Artículos],Tabla1[Rubro]),"")</f>
        <v>Limpieza</v>
      </c>
      <c r="E254" s="33" t="s">
        <v>214</v>
      </c>
      <c r="F254" s="34">
        <v>3</v>
      </c>
      <c r="G254" s="33" t="s">
        <v>25</v>
      </c>
      <c r="H254" s="35">
        <v>719</v>
      </c>
      <c r="I254" s="36">
        <f>Tabla2[[#This Row],[Precio Unitario ARS]]/Tabla2[[#This Row],[TC BNA]]</f>
        <v>0.47302631578947368</v>
      </c>
      <c r="J254" s="28">
        <v>0</v>
      </c>
      <c r="K254" s="33" t="s">
        <v>19</v>
      </c>
      <c r="L254" s="37">
        <v>0.21</v>
      </c>
      <c r="M254" s="38">
        <f>(Tabla2[[#This Row],[Precio Unitario ARS]]-(Tabla2[[#This Row],[Precio Unitario ARS]]*Tabla2[[#This Row],[DTO]]))*Tabla2[[#This Row],[Cantidad]]</f>
        <v>2157</v>
      </c>
      <c r="N254" s="39">
        <f>Tabla2[[#This Row],[Subtotal ARS]]+(Tabla2[[#This Row],[Subtotal ARS]]*Tabla2[[#This Row],[IVA]])</f>
        <v>2609.9699999999998</v>
      </c>
      <c r="O254" s="39">
        <f>Tabla2[[#This Row],[TOTAL ARS]]/Tabla2[[#This Row],[TC BNA]]</f>
        <v>1.7170855263157894</v>
      </c>
      <c r="P254" s="40">
        <f>_xlfn.XLOOKUP(A254,'TC_BNA xlsx'!A:A,'TC_BNA xlsx'!C:C,"No encontrado")</f>
        <v>1520</v>
      </c>
      <c r="Q254" s="22"/>
    </row>
    <row r="255" spans="1:17" x14ac:dyDescent="0.25">
      <c r="A255" s="32">
        <v>46231</v>
      </c>
      <c r="B255" s="21">
        <f>MONTH(Tabla2[[#This Row],[Fecha]])</f>
        <v>7</v>
      </c>
      <c r="C255" s="22" t="s">
        <v>100</v>
      </c>
      <c r="D255" s="41" t="str">
        <f>IFERROR(_xlfn.XLOOKUP(Tabla2[[#This Row],[Artículo]],Tabla1[Artículos],Tabla1[Rubro]),"")</f>
        <v>Embalaje</v>
      </c>
      <c r="E255" s="33" t="s">
        <v>128</v>
      </c>
      <c r="F255" s="34">
        <v>30</v>
      </c>
      <c r="G255" s="33" t="s">
        <v>150</v>
      </c>
      <c r="H255" s="35">
        <v>7620</v>
      </c>
      <c r="I255" s="36">
        <f>Tabla2[[#This Row],[Precio Unitario ARS]]/Tabla2[[#This Row],[TC BNA]]</f>
        <v>5.0131578947368425</v>
      </c>
      <c r="J255" s="28">
        <v>0</v>
      </c>
      <c r="K255" s="24" t="s">
        <v>19</v>
      </c>
      <c r="L255" s="29">
        <v>0.21</v>
      </c>
      <c r="M255" s="38">
        <f>(Tabla2[[#This Row],[Precio Unitario ARS]]-(Tabla2[[#This Row],[Precio Unitario ARS]]*Tabla2[[#This Row],[DTO]]))*Tabla2[[#This Row],[Cantidad]]</f>
        <v>228600</v>
      </c>
      <c r="N255" s="39">
        <f>Tabla2[[#This Row],[Subtotal ARS]]+(Tabla2[[#This Row],[Subtotal ARS]]*Tabla2[[#This Row],[IVA]])</f>
        <v>276606</v>
      </c>
      <c r="O255" s="39">
        <f>Tabla2[[#This Row],[TOTAL ARS]]/Tabla2[[#This Row],[TC BNA]]</f>
        <v>181.97763157894738</v>
      </c>
      <c r="P255" s="40">
        <f>_xlfn.XLOOKUP(A255,'TC_BNA xlsx'!A:A,'TC_BNA xlsx'!C:C,"No encontrado")</f>
        <v>1520</v>
      </c>
      <c r="Q255" s="22"/>
    </row>
    <row r="256" spans="1:17" x14ac:dyDescent="0.25">
      <c r="A256" s="32">
        <v>46230</v>
      </c>
      <c r="B256" s="21">
        <f>MONTH(Tabla2[[#This Row],[Fecha]])</f>
        <v>7</v>
      </c>
      <c r="C256" s="22" t="s">
        <v>97</v>
      </c>
      <c r="D256" s="41" t="str">
        <f>IFERROR(_xlfn.XLOOKUP(Tabla2[[#This Row],[Artículo]],Tabla1[Artículos],Tabla1[Rubro]),"")</f>
        <v>Embalaje</v>
      </c>
      <c r="E256" s="33" t="s">
        <v>125</v>
      </c>
      <c r="F256" s="34">
        <v>103.7</v>
      </c>
      <c r="G256" s="33" t="s">
        <v>150</v>
      </c>
      <c r="H256" s="35">
        <v>3678.4</v>
      </c>
      <c r="I256" s="36">
        <f>Tabla2[[#This Row],[Precio Unitario ARS]]/Tabla2[[#This Row],[TC BNA]]</f>
        <v>2.42</v>
      </c>
      <c r="J256" s="28">
        <v>0</v>
      </c>
      <c r="K256" s="24" t="s">
        <v>19</v>
      </c>
      <c r="L256" s="29">
        <v>0.21</v>
      </c>
      <c r="M256" s="38">
        <f>(Tabla2[[#This Row],[Precio Unitario ARS]]-(Tabla2[[#This Row],[Precio Unitario ARS]]*Tabla2[[#This Row],[DTO]]))*Tabla2[[#This Row],[Cantidad]]</f>
        <v>381450.08</v>
      </c>
      <c r="N256" s="39">
        <f>Tabla2[[#This Row],[Subtotal ARS]]+(Tabla2[[#This Row],[Subtotal ARS]]*Tabla2[[#This Row],[IVA]])</f>
        <v>461554.5968</v>
      </c>
      <c r="O256" s="39">
        <f>Tabla2[[#This Row],[TOTAL ARS]]/Tabla2[[#This Row],[TC BNA]]</f>
        <v>303.65433999999999</v>
      </c>
      <c r="P256" s="40">
        <f>_xlfn.XLOOKUP(A256,'TC_BNA xlsx'!A:A,'TC_BNA xlsx'!C:C,"No encontrado")</f>
        <v>1520</v>
      </c>
      <c r="Q256" s="22"/>
    </row>
    <row r="257" spans="1:17" x14ac:dyDescent="0.25">
      <c r="A257" s="32">
        <v>46232</v>
      </c>
      <c r="B257" s="21">
        <f>MONTH(Tabla2[[#This Row],[Fecha]])</f>
        <v>7</v>
      </c>
      <c r="C257" s="22" t="s">
        <v>152</v>
      </c>
      <c r="D257" s="41" t="str">
        <f>IFERROR(_xlfn.XLOOKUP(Tabla2[[#This Row],[Artículo]],Tabla1[Artículos],Tabla1[Rubro]),"")</f>
        <v>Reventa</v>
      </c>
      <c r="E257" s="33" t="s">
        <v>155</v>
      </c>
      <c r="F257" s="34">
        <v>2000</v>
      </c>
      <c r="G257" s="33" t="s">
        <v>25</v>
      </c>
      <c r="H257" s="35">
        <v>463.05</v>
      </c>
      <c r="I257" s="36">
        <f>Tabla2[[#This Row],[Precio Unitario ARS]]/Tabla2[[#This Row],[TC BNA]]</f>
        <v>0.30463815789473686</v>
      </c>
      <c r="J257" s="28">
        <v>0</v>
      </c>
      <c r="K257" s="24" t="s">
        <v>19</v>
      </c>
      <c r="L257" s="29">
        <v>0.21</v>
      </c>
      <c r="M257" s="38">
        <f>(Tabla2[[#This Row],[Precio Unitario ARS]]-(Tabla2[[#This Row],[Precio Unitario ARS]]*Tabla2[[#This Row],[DTO]]))*Tabla2[[#This Row],[Cantidad]]</f>
        <v>926100</v>
      </c>
      <c r="N257" s="39">
        <f>Tabla2[[#This Row],[Subtotal ARS]]+(Tabla2[[#This Row],[Subtotal ARS]]*Tabla2[[#This Row],[IVA]])</f>
        <v>1120581</v>
      </c>
      <c r="O257" s="39">
        <f>Tabla2[[#This Row],[TOTAL ARS]]/Tabla2[[#This Row],[TC BNA]]</f>
        <v>737.22434210526319</v>
      </c>
      <c r="P257" s="40">
        <f>_xlfn.XLOOKUP(A257,'TC_BNA xlsx'!A:A,'TC_BNA xlsx'!C:C,"No encontrado")</f>
        <v>1520</v>
      </c>
      <c r="Q257" s="22"/>
    </row>
    <row r="258" spans="1:17" x14ac:dyDescent="0.25">
      <c r="A258" s="32">
        <v>46232</v>
      </c>
      <c r="B258" s="21">
        <f>MONTH(Tabla2[[#This Row],[Fecha]])</f>
        <v>7</v>
      </c>
      <c r="C258" s="22" t="s">
        <v>154</v>
      </c>
      <c r="D258" s="41" t="str">
        <f>IFERROR(_xlfn.XLOOKUP(Tabla2[[#This Row],[Artículo]],Tabla1[Artículos],Tabla1[Rubro]),"")</f>
        <v>Reventa</v>
      </c>
      <c r="E258" s="33" t="s">
        <v>155</v>
      </c>
      <c r="F258" s="34">
        <v>1000</v>
      </c>
      <c r="G258" s="33" t="s">
        <v>25</v>
      </c>
      <c r="H258" s="35">
        <v>730.26</v>
      </c>
      <c r="I258" s="36">
        <f>Tabla2[[#This Row],[Precio Unitario ARS]]/Tabla2[[#This Row],[TC BNA]]</f>
        <v>0.4804342105263158</v>
      </c>
      <c r="J258" s="28">
        <v>0</v>
      </c>
      <c r="K258" s="24" t="s">
        <v>19</v>
      </c>
      <c r="L258" s="29">
        <v>0.21</v>
      </c>
      <c r="M258" s="38">
        <f>(Tabla2[[#This Row],[Precio Unitario ARS]]-(Tabla2[[#This Row],[Precio Unitario ARS]]*Tabla2[[#This Row],[DTO]]))*Tabla2[[#This Row],[Cantidad]]</f>
        <v>730260</v>
      </c>
      <c r="N258" s="39">
        <f>Tabla2[[#This Row],[Subtotal ARS]]+(Tabla2[[#This Row],[Subtotal ARS]]*Tabla2[[#This Row],[IVA]])</f>
        <v>883614.6</v>
      </c>
      <c r="O258" s="39">
        <f>Tabla2[[#This Row],[TOTAL ARS]]/Tabla2[[#This Row],[TC BNA]]</f>
        <v>581.3253947368421</v>
      </c>
      <c r="P258" s="40">
        <f>_xlfn.XLOOKUP(A258,'TC_BNA xlsx'!A:A,'TC_BNA xlsx'!C:C,"No encontrado")</f>
        <v>1520</v>
      </c>
      <c r="Q258" s="22"/>
    </row>
    <row r="259" spans="1:17" x14ac:dyDescent="0.25">
      <c r="A259" s="32">
        <v>46232</v>
      </c>
      <c r="B259" s="21">
        <f>MONTH(Tabla2[[#This Row],[Fecha]])</f>
        <v>7</v>
      </c>
      <c r="C259" s="22" t="s">
        <v>153</v>
      </c>
      <c r="D259" s="41" t="str">
        <f>IFERROR(_xlfn.XLOOKUP(Tabla2[[#This Row],[Artículo]],Tabla1[Artículos],Tabla1[Rubro]),"")</f>
        <v>Reventa</v>
      </c>
      <c r="E259" s="33" t="s">
        <v>155</v>
      </c>
      <c r="F259" s="34">
        <v>700</v>
      </c>
      <c r="G259" s="33" t="s">
        <v>25</v>
      </c>
      <c r="H259" s="35">
        <v>1026</v>
      </c>
      <c r="I259" s="36">
        <f>Tabla2[[#This Row],[Precio Unitario ARS]]/Tabla2[[#This Row],[TC BNA]]</f>
        <v>0.67500000000000004</v>
      </c>
      <c r="J259" s="28">
        <v>0</v>
      </c>
      <c r="K259" s="24" t="s">
        <v>19</v>
      </c>
      <c r="L259" s="29">
        <v>0.21</v>
      </c>
      <c r="M259" s="38">
        <f>(Tabla2[[#This Row],[Precio Unitario ARS]]-(Tabla2[[#This Row],[Precio Unitario ARS]]*Tabla2[[#This Row],[DTO]]))*Tabla2[[#This Row],[Cantidad]]</f>
        <v>718200</v>
      </c>
      <c r="N259" s="39">
        <f>Tabla2[[#This Row],[Subtotal ARS]]+(Tabla2[[#This Row],[Subtotal ARS]]*Tabla2[[#This Row],[IVA]])</f>
        <v>869022</v>
      </c>
      <c r="O259" s="39">
        <f>Tabla2[[#This Row],[TOTAL ARS]]/Tabla2[[#This Row],[TC BNA]]</f>
        <v>571.72500000000002</v>
      </c>
      <c r="P259" s="40">
        <f>_xlfn.XLOOKUP(A259,'TC_BNA xlsx'!A:A,'TC_BNA xlsx'!C:C,"No encontrado")</f>
        <v>1520</v>
      </c>
      <c r="Q259" s="22"/>
    </row>
    <row r="260" spans="1:17" x14ac:dyDescent="0.25">
      <c r="A260" s="32">
        <v>46234</v>
      </c>
      <c r="B260" s="21">
        <f>MONTH(Tabla2[[#This Row],[Fecha]])</f>
        <v>7</v>
      </c>
      <c r="C260" t="s">
        <v>329</v>
      </c>
      <c r="D260" s="41" t="str">
        <f>IFERROR(_xlfn.XLOOKUP(Tabla2[[#This Row],[Artículo]],Tabla1[Artículos],Tabla1[Rubro]),"")</f>
        <v>Embalaje</v>
      </c>
      <c r="E260" s="33" t="s">
        <v>124</v>
      </c>
      <c r="F260" s="34">
        <v>188</v>
      </c>
      <c r="G260" s="33" t="s">
        <v>150</v>
      </c>
      <c r="H260" s="35">
        <v>4379</v>
      </c>
      <c r="I260" s="36">
        <f>Tabla2[[#This Row],[Precio Unitario ARS]]/Tabla2[[#This Row],[TC BNA]]</f>
        <v>2.9</v>
      </c>
      <c r="J260" s="28">
        <v>0</v>
      </c>
      <c r="K260" s="24" t="s">
        <v>19</v>
      </c>
      <c r="L260" s="29">
        <v>0.21</v>
      </c>
      <c r="M260" s="38">
        <f>(Tabla2[[#This Row],[Precio Unitario ARS]]-(Tabla2[[#This Row],[Precio Unitario ARS]]*Tabla2[[#This Row],[DTO]]))*Tabla2[[#This Row],[Cantidad]]</f>
        <v>823252</v>
      </c>
      <c r="N260" s="39">
        <f>Tabla2[[#This Row],[Subtotal ARS]]+(Tabla2[[#This Row],[Subtotal ARS]]*Tabla2[[#This Row],[IVA]])</f>
        <v>996134.91999999993</v>
      </c>
      <c r="O260" s="39">
        <f>Tabla2[[#This Row],[TOTAL ARS]]/Tabla2[[#This Row],[TC BNA]]</f>
        <v>659.69200000000001</v>
      </c>
      <c r="P260" s="40">
        <f>_xlfn.XLOOKUP(A260,'TC_BNA xlsx'!A:A,'TC_BNA xlsx'!C:C,"No encontrado")</f>
        <v>1510</v>
      </c>
      <c r="Q260" s="22"/>
    </row>
    <row r="261" spans="1:17" x14ac:dyDescent="0.25">
      <c r="A261" s="32">
        <v>46232</v>
      </c>
      <c r="B261" s="21">
        <f>MONTH(Tabla2[[#This Row],[Fecha]])</f>
        <v>7</v>
      </c>
      <c r="C261" t="s">
        <v>312</v>
      </c>
      <c r="D261" s="41" t="str">
        <f>IFERROR(_xlfn.XLOOKUP(Tabla2[[#This Row],[Artículo]],Tabla1[Artículos],Tabla1[Rubro]),"")</f>
        <v>Herramientas</v>
      </c>
      <c r="E261" s="33" t="s">
        <v>118</v>
      </c>
      <c r="F261" s="34">
        <v>2</v>
      </c>
      <c r="G261" s="33" t="s">
        <v>25</v>
      </c>
      <c r="H261" s="35">
        <v>37000</v>
      </c>
      <c r="I261" s="36">
        <f>Tabla2[[#This Row],[Precio Unitario ARS]]/Tabla2[[#This Row],[TC BNA]]</f>
        <v>24.342105263157894</v>
      </c>
      <c r="J261" s="37">
        <v>0.1</v>
      </c>
      <c r="K261" s="24" t="s">
        <v>19</v>
      </c>
      <c r="L261" s="29">
        <v>0.21</v>
      </c>
      <c r="M261" s="38">
        <f>(Tabla2[[#This Row],[Precio Unitario ARS]]-(Tabla2[[#This Row],[Precio Unitario ARS]]*Tabla2[[#This Row],[DTO]]))*Tabla2[[#This Row],[Cantidad]]</f>
        <v>66600</v>
      </c>
      <c r="N261" s="39">
        <f>Tabla2[[#This Row],[Subtotal ARS]]+(Tabla2[[#This Row],[Subtotal ARS]]*Tabla2[[#This Row],[IVA]])</f>
        <v>80586</v>
      </c>
      <c r="O261" s="39">
        <f>Tabla2[[#This Row],[TOTAL ARS]]/Tabla2[[#This Row],[TC BNA]]</f>
        <v>53.017105263157895</v>
      </c>
      <c r="P261" s="40">
        <f>_xlfn.XLOOKUP(A261,'TC_BNA xlsx'!A:A,'TC_BNA xlsx'!C:C,"No encontrado")</f>
        <v>1520</v>
      </c>
      <c r="Q261" s="22"/>
    </row>
    <row r="262" spans="1:17" x14ac:dyDescent="0.25">
      <c r="A262" s="32"/>
      <c r="B262" s="21">
        <f>MONTH(Tabla2[[#This Row],[Fecha]])</f>
        <v>1</v>
      </c>
      <c r="C262"/>
      <c r="D262" s="41">
        <f>IFERROR(_xlfn.XLOOKUP(Tabla2[[#This Row],[Artículo]],Tabla1[Artículos],Tabla1[Rubro]),"")</f>
        <v>0</v>
      </c>
      <c r="E262" s="33"/>
      <c r="F262" s="34"/>
      <c r="G262" s="33"/>
      <c r="H262" s="35"/>
      <c r="I262" s="36" t="e">
        <f>Tabla2[[#This Row],[Precio Unitario ARS]]/Tabla2[[#This Row],[TC BNA]]</f>
        <v>#DIV/0!</v>
      </c>
      <c r="J262" s="37"/>
      <c r="K262" s="33"/>
      <c r="L262" s="37"/>
      <c r="M262" s="38">
        <f>(Tabla2[[#This Row],[Precio Unitario ARS]]-(Tabla2[[#This Row],[Precio Unitario ARS]]*Tabla2[[#This Row],[DTO]]))*Tabla2[[#This Row],[Cantidad]]</f>
        <v>0</v>
      </c>
      <c r="N262" s="39">
        <f>Tabla2[[#This Row],[Subtotal ARS]]+(Tabla2[[#This Row],[Subtotal ARS]]*Tabla2[[#This Row],[IVA]])</f>
        <v>0</v>
      </c>
      <c r="O262" s="39" t="e">
        <f>Tabla2[[#This Row],[TOTAL ARS]]/Tabla2[[#This Row],[TC BNA]]</f>
        <v>#DIV/0!</v>
      </c>
      <c r="P262" s="40">
        <f>_xlfn.XLOOKUP(A262,'TC_BNA xlsx'!A:A,'TC_BNA xlsx'!C:C,"No encontrado")</f>
        <v>0</v>
      </c>
      <c r="Q262" s="22"/>
    </row>
    <row r="263" spans="1:17" x14ac:dyDescent="0.25">
      <c r="A263" s="32"/>
      <c r="B263" s="21">
        <f>MONTH(Tabla2[[#This Row],[Fecha]])</f>
        <v>1</v>
      </c>
      <c r="C263"/>
      <c r="D263" s="41">
        <f>IFERROR(_xlfn.XLOOKUP(Tabla2[[#This Row],[Artículo]],Tabla1[Artículos],Tabla1[Rubro]),"")</f>
        <v>0</v>
      </c>
      <c r="E263" s="33"/>
      <c r="F263" s="34"/>
      <c r="G263" s="33"/>
      <c r="H263" s="35"/>
      <c r="I263" s="36" t="e">
        <f>Tabla2[[#This Row],[Precio Unitario ARS]]/Tabla2[[#This Row],[TC BNA]]</f>
        <v>#DIV/0!</v>
      </c>
      <c r="J263" s="37"/>
      <c r="K263" s="33"/>
      <c r="L263" s="37"/>
      <c r="M263" s="38">
        <f>(Tabla2[[#This Row],[Precio Unitario ARS]]-(Tabla2[[#This Row],[Precio Unitario ARS]]*Tabla2[[#This Row],[DTO]]))*Tabla2[[#This Row],[Cantidad]]</f>
        <v>0</v>
      </c>
      <c r="N263" s="39">
        <f>Tabla2[[#This Row],[Subtotal ARS]]+(Tabla2[[#This Row],[Subtotal ARS]]*Tabla2[[#This Row],[IVA]])</f>
        <v>0</v>
      </c>
      <c r="O263" s="39" t="e">
        <f>Tabla2[[#This Row],[TOTAL ARS]]/Tabla2[[#This Row],[TC BNA]]</f>
        <v>#DIV/0!</v>
      </c>
      <c r="P263" s="40">
        <f>_xlfn.XLOOKUP(A263,'TC_BNA xlsx'!A:A,'TC_BNA xlsx'!C:C,"No encontrado")</f>
        <v>0</v>
      </c>
      <c r="Q263" s="22"/>
    </row>
    <row r="264" spans="1:17" x14ac:dyDescent="0.25">
      <c r="A264" s="32"/>
      <c r="B264" s="21">
        <f>MONTH(Tabla2[[#This Row],[Fecha]])</f>
        <v>1</v>
      </c>
      <c r="C264"/>
      <c r="D264" s="41">
        <f>IFERROR(_xlfn.XLOOKUP(Tabla2[[#This Row],[Artículo]],Tabla1[Artículos],Tabla1[Rubro]),"")</f>
        <v>0</v>
      </c>
      <c r="E264" s="33"/>
      <c r="F264" s="34"/>
      <c r="G264" s="33"/>
      <c r="H264" s="35"/>
      <c r="I264" s="36" t="e">
        <f>Tabla2[[#This Row],[Precio Unitario ARS]]/Tabla2[[#This Row],[TC BNA]]</f>
        <v>#DIV/0!</v>
      </c>
      <c r="J264" s="37"/>
      <c r="K264" s="33"/>
      <c r="L264" s="37"/>
      <c r="M264" s="38">
        <f>(Tabla2[[#This Row],[Precio Unitario ARS]]-(Tabla2[[#This Row],[Precio Unitario ARS]]*Tabla2[[#This Row],[DTO]]))*Tabla2[[#This Row],[Cantidad]]</f>
        <v>0</v>
      </c>
      <c r="N264" s="39">
        <f>Tabla2[[#This Row],[Subtotal ARS]]+(Tabla2[[#This Row],[Subtotal ARS]]*Tabla2[[#This Row],[IVA]])</f>
        <v>0</v>
      </c>
      <c r="O264" s="39" t="e">
        <f>Tabla2[[#This Row],[TOTAL ARS]]/Tabla2[[#This Row],[TC BNA]]</f>
        <v>#DIV/0!</v>
      </c>
      <c r="P264" s="40">
        <f>_xlfn.XLOOKUP(A264,'TC_BNA xlsx'!A:A,'TC_BNA xlsx'!C:C,"No encontrado")</f>
        <v>0</v>
      </c>
      <c r="Q264" s="22"/>
    </row>
    <row r="265" spans="1:17" x14ac:dyDescent="0.25">
      <c r="A265" s="32"/>
      <c r="B265" s="21">
        <f>MONTH(Tabla2[[#This Row],[Fecha]])</f>
        <v>1</v>
      </c>
      <c r="C265" s="22"/>
      <c r="D265" s="41">
        <f>IFERROR(_xlfn.XLOOKUP(Tabla2[[#This Row],[Artículo]],Tabla1[Artículos],Tabla1[Rubro]),"")</f>
        <v>0</v>
      </c>
      <c r="E265" s="33"/>
      <c r="F265" s="34"/>
      <c r="G265" s="33"/>
      <c r="H265" s="35"/>
      <c r="I265" s="36" t="e">
        <f>Tabla2[[#This Row],[Precio Unitario ARS]]/Tabla2[[#This Row],[TC BNA]]</f>
        <v>#DIV/0!</v>
      </c>
      <c r="J265" s="37"/>
      <c r="K265" s="33"/>
      <c r="L265" s="37"/>
      <c r="M265" s="38">
        <f>(Tabla2[[#This Row],[Precio Unitario ARS]]-(Tabla2[[#This Row],[Precio Unitario ARS]]*Tabla2[[#This Row],[DTO]]))*Tabla2[[#This Row],[Cantidad]]</f>
        <v>0</v>
      </c>
      <c r="N265" s="39">
        <f>Tabla2[[#This Row],[Subtotal ARS]]+(Tabla2[[#This Row],[Subtotal ARS]]*Tabla2[[#This Row],[IVA]])</f>
        <v>0</v>
      </c>
      <c r="O265" s="39" t="e">
        <f>Tabla2[[#This Row],[TOTAL ARS]]/Tabla2[[#This Row],[TC BNA]]</f>
        <v>#DIV/0!</v>
      </c>
      <c r="P265" s="40">
        <f>_xlfn.XLOOKUP(A265,'TC_BNA xlsx'!A:A,'TC_BNA xlsx'!C:C,"No encontrado")</f>
        <v>0</v>
      </c>
      <c r="Q265" s="22"/>
    </row>
    <row r="266" spans="1:17" x14ac:dyDescent="0.25">
      <c r="A266" s="32"/>
      <c r="B266" s="21">
        <f>MONTH(Tabla2[[#This Row],[Fecha]])</f>
        <v>1</v>
      </c>
      <c r="C266" s="22"/>
      <c r="D266" s="41">
        <f>IFERROR(_xlfn.XLOOKUP(Tabla2[[#This Row],[Artículo]],Tabla1[Artículos],Tabla1[Rubro]),"")</f>
        <v>0</v>
      </c>
      <c r="E266" s="33"/>
      <c r="F266" s="34"/>
      <c r="G266" s="33"/>
      <c r="H266" s="35"/>
      <c r="I266" s="36" t="e">
        <f>Tabla2[[#This Row],[Precio Unitario ARS]]/Tabla2[[#This Row],[TC BNA]]</f>
        <v>#DIV/0!</v>
      </c>
      <c r="J266" s="37"/>
      <c r="K266" s="33"/>
      <c r="L266" s="37"/>
      <c r="M266" s="38">
        <f>(Tabla2[[#This Row],[Precio Unitario ARS]]-(Tabla2[[#This Row],[Precio Unitario ARS]]*Tabla2[[#This Row],[DTO]]))*Tabla2[[#This Row],[Cantidad]]</f>
        <v>0</v>
      </c>
      <c r="N266" s="39">
        <f>Tabla2[[#This Row],[Subtotal ARS]]+(Tabla2[[#This Row],[Subtotal ARS]]*Tabla2[[#This Row],[IVA]])</f>
        <v>0</v>
      </c>
      <c r="O266" s="39" t="e">
        <f>Tabla2[[#This Row],[TOTAL ARS]]/Tabla2[[#This Row],[TC BNA]]</f>
        <v>#DIV/0!</v>
      </c>
      <c r="P266" s="40">
        <f>_xlfn.XLOOKUP(A266,'TC_BNA xlsx'!A:A,'TC_BNA xlsx'!C:C,"No encontrado")</f>
        <v>0</v>
      </c>
      <c r="Q266" s="22"/>
    </row>
    <row r="267" spans="1:17" x14ac:dyDescent="0.25">
      <c r="A267" s="32"/>
      <c r="B267" s="21">
        <f>MONTH(Tabla2[[#This Row],[Fecha]])</f>
        <v>1</v>
      </c>
      <c r="C267" s="22"/>
      <c r="D267" s="41">
        <f>IFERROR(_xlfn.XLOOKUP(Tabla2[[#This Row],[Artículo]],Tabla1[Artículos],Tabla1[Rubro]),"")</f>
        <v>0</v>
      </c>
      <c r="E267" s="33"/>
      <c r="F267" s="34"/>
      <c r="G267" s="33"/>
      <c r="H267" s="35"/>
      <c r="I267" s="36" t="e">
        <f>Tabla2[[#This Row],[Precio Unitario ARS]]/Tabla2[[#This Row],[TC BNA]]</f>
        <v>#DIV/0!</v>
      </c>
      <c r="J267" s="37"/>
      <c r="K267" s="33"/>
      <c r="L267" s="37"/>
      <c r="M267" s="38">
        <f>(Tabla2[[#This Row],[Precio Unitario ARS]]-(Tabla2[[#This Row],[Precio Unitario ARS]]*Tabla2[[#This Row],[DTO]]))*Tabla2[[#This Row],[Cantidad]]</f>
        <v>0</v>
      </c>
      <c r="N267" s="39">
        <f>Tabla2[[#This Row],[Subtotal ARS]]+(Tabla2[[#This Row],[Subtotal ARS]]*Tabla2[[#This Row],[IVA]])</f>
        <v>0</v>
      </c>
      <c r="O267" s="39" t="e">
        <f>Tabla2[[#This Row],[TOTAL ARS]]/Tabla2[[#This Row],[TC BNA]]</f>
        <v>#DIV/0!</v>
      </c>
      <c r="P267" s="40">
        <f>_xlfn.XLOOKUP(A267,'TC_BNA xlsx'!A:A,'TC_BNA xlsx'!C:C,"No encontrado")</f>
        <v>0</v>
      </c>
      <c r="Q267" s="22"/>
    </row>
    <row r="268" spans="1:17" x14ac:dyDescent="0.25">
      <c r="A268" s="32"/>
      <c r="B268" s="21">
        <f>MONTH(Tabla2[[#This Row],[Fecha]])</f>
        <v>1</v>
      </c>
      <c r="C268" s="22"/>
      <c r="D268" s="41">
        <f>IFERROR(_xlfn.XLOOKUP(Tabla2[[#This Row],[Artículo]],Tabla1[Artículos],Tabla1[Rubro]),"")</f>
        <v>0</v>
      </c>
      <c r="E268" s="33"/>
      <c r="F268" s="34"/>
      <c r="G268" s="33"/>
      <c r="H268" s="35"/>
      <c r="I268" s="36" t="e">
        <f>Tabla2[[#This Row],[Precio Unitario ARS]]/Tabla2[[#This Row],[TC BNA]]</f>
        <v>#DIV/0!</v>
      </c>
      <c r="J268" s="37"/>
      <c r="K268" s="33"/>
      <c r="L268" s="37"/>
      <c r="M268" s="38">
        <f>(Tabla2[[#This Row],[Precio Unitario ARS]]-(Tabla2[[#This Row],[Precio Unitario ARS]]*Tabla2[[#This Row],[DTO]]))*Tabla2[[#This Row],[Cantidad]]</f>
        <v>0</v>
      </c>
      <c r="N268" s="39">
        <f>Tabla2[[#This Row],[Subtotal ARS]]+(Tabla2[[#This Row],[Subtotal ARS]]*Tabla2[[#This Row],[IVA]])</f>
        <v>0</v>
      </c>
      <c r="O268" s="39" t="e">
        <f>Tabla2[[#This Row],[TOTAL ARS]]/Tabla2[[#This Row],[TC BNA]]</f>
        <v>#DIV/0!</v>
      </c>
      <c r="P268" s="40">
        <f>_xlfn.XLOOKUP(A268,'TC_BNA xlsx'!A:A,'TC_BNA xlsx'!C:C,"No encontrado")</f>
        <v>0</v>
      </c>
      <c r="Q268" s="22"/>
    </row>
    <row r="269" spans="1:17" x14ac:dyDescent="0.25">
      <c r="A269" s="32"/>
      <c r="B269" s="21">
        <f>MONTH(Tabla2[[#This Row],[Fecha]])</f>
        <v>1</v>
      </c>
      <c r="C269" s="22"/>
      <c r="D269" s="41">
        <f>IFERROR(_xlfn.XLOOKUP(Tabla2[[#This Row],[Artículo]],Tabla1[Artículos],Tabla1[Rubro]),"")</f>
        <v>0</v>
      </c>
      <c r="E269" s="33"/>
      <c r="F269" s="34"/>
      <c r="G269" s="33"/>
      <c r="H269" s="35"/>
      <c r="I269" s="36" t="e">
        <f>Tabla2[[#This Row],[Precio Unitario ARS]]/Tabla2[[#This Row],[TC BNA]]</f>
        <v>#DIV/0!</v>
      </c>
      <c r="J269" s="37"/>
      <c r="K269" s="33"/>
      <c r="L269" s="37"/>
      <c r="M269" s="38">
        <f>(Tabla2[[#This Row],[Precio Unitario ARS]]-(Tabla2[[#This Row],[Precio Unitario ARS]]*Tabla2[[#This Row],[DTO]]))*Tabla2[[#This Row],[Cantidad]]</f>
        <v>0</v>
      </c>
      <c r="N269" s="39">
        <f>Tabla2[[#This Row],[Subtotal ARS]]+(Tabla2[[#This Row],[Subtotal ARS]]*Tabla2[[#This Row],[IVA]])</f>
        <v>0</v>
      </c>
      <c r="O269" s="39" t="e">
        <f>Tabla2[[#This Row],[TOTAL ARS]]/Tabla2[[#This Row],[TC BNA]]</f>
        <v>#DIV/0!</v>
      </c>
      <c r="P269" s="40">
        <f>_xlfn.XLOOKUP(A269,'TC_BNA xlsx'!A:A,'TC_BNA xlsx'!C:C,"No encontrado")</f>
        <v>0</v>
      </c>
      <c r="Q269" s="22"/>
    </row>
    <row r="270" spans="1:17" x14ac:dyDescent="0.25">
      <c r="A270" s="33"/>
      <c r="B270" s="21">
        <f>MONTH(Tabla2[[#This Row],[Fecha]])</f>
        <v>1</v>
      </c>
      <c r="C270" s="22"/>
      <c r="D270" s="41">
        <f>IFERROR(_xlfn.XLOOKUP(Tabla2[[#This Row],[Artículo]],Tabla1[Artículos],Tabla1[Rubro]),"")</f>
        <v>0</v>
      </c>
      <c r="E270" s="33"/>
      <c r="F270" s="34"/>
      <c r="G270" s="33"/>
      <c r="H270" s="35"/>
      <c r="I270" s="36" t="e">
        <f>Tabla2[[#This Row],[Precio Unitario ARS]]/Tabla2[[#This Row],[TC BNA]]</f>
        <v>#DIV/0!</v>
      </c>
      <c r="J270" s="37"/>
      <c r="K270" s="33"/>
      <c r="L270" s="37"/>
      <c r="M270" s="38">
        <f>(Tabla2[[#This Row],[Precio Unitario ARS]]-(Tabla2[[#This Row],[Precio Unitario ARS]]*Tabla2[[#This Row],[DTO]]))*Tabla2[[#This Row],[Cantidad]]</f>
        <v>0</v>
      </c>
      <c r="N270" s="39">
        <f>Tabla2[[#This Row],[Subtotal ARS]]+(Tabla2[[#This Row],[Subtotal ARS]]*Tabla2[[#This Row],[IVA]])</f>
        <v>0</v>
      </c>
      <c r="O270" s="39" t="e">
        <f>Tabla2[[#This Row],[TOTAL ARS]]/Tabla2[[#This Row],[TC BNA]]</f>
        <v>#DIV/0!</v>
      </c>
      <c r="P270" s="40">
        <f>_xlfn.XLOOKUP(A270,'TC_BNA xlsx'!A:A,'TC_BNA xlsx'!C:C,"No encontrado")</f>
        <v>0</v>
      </c>
      <c r="Q270" s="22"/>
    </row>
    <row r="271" spans="1:17" x14ac:dyDescent="0.25">
      <c r="A271" s="33"/>
      <c r="B271" s="21">
        <f>MONTH(Tabla2[[#This Row],[Fecha]])</f>
        <v>1</v>
      </c>
      <c r="C271" s="22"/>
      <c r="D271" s="41">
        <f>IFERROR(_xlfn.XLOOKUP(Tabla2[[#This Row],[Artículo]],Tabla1[Artículos],Tabla1[Rubro]),"")</f>
        <v>0</v>
      </c>
      <c r="E271" s="33"/>
      <c r="F271" s="34"/>
      <c r="G271" s="33"/>
      <c r="H271" s="35"/>
      <c r="I271" s="36" t="e">
        <f>Tabla2[[#This Row],[Precio Unitario ARS]]/Tabla2[[#This Row],[TC BNA]]</f>
        <v>#DIV/0!</v>
      </c>
      <c r="J271" s="37"/>
      <c r="K271" s="33"/>
      <c r="L271" s="37"/>
      <c r="M271" s="38">
        <f>(Tabla2[[#This Row],[Precio Unitario ARS]]-(Tabla2[[#This Row],[Precio Unitario ARS]]*Tabla2[[#This Row],[DTO]]))*Tabla2[[#This Row],[Cantidad]]</f>
        <v>0</v>
      </c>
      <c r="N271" s="39">
        <f>Tabla2[[#This Row],[Subtotal ARS]]+(Tabla2[[#This Row],[Subtotal ARS]]*Tabla2[[#This Row],[IVA]])</f>
        <v>0</v>
      </c>
      <c r="O271" s="39" t="e">
        <f>Tabla2[[#This Row],[TOTAL ARS]]/Tabla2[[#This Row],[TC BNA]]</f>
        <v>#DIV/0!</v>
      </c>
      <c r="P271" s="40">
        <f>_xlfn.XLOOKUP(A271,'TC_BNA xlsx'!A:A,'TC_BNA xlsx'!C:C,"No encontrado")</f>
        <v>0</v>
      </c>
      <c r="Q271" s="22"/>
    </row>
    <row r="272" spans="1:17" x14ac:dyDescent="0.25">
      <c r="A272" s="33"/>
      <c r="B272" s="21">
        <f>MONTH(Tabla2[[#This Row],[Fecha]])</f>
        <v>1</v>
      </c>
      <c r="C272" s="22"/>
      <c r="D272" s="41">
        <f>IFERROR(_xlfn.XLOOKUP(Tabla2[[#This Row],[Artículo]],Tabla1[Artículos],Tabla1[Rubro]),"")</f>
        <v>0</v>
      </c>
      <c r="E272" s="33"/>
      <c r="F272" s="34"/>
      <c r="G272" s="33"/>
      <c r="H272" s="35"/>
      <c r="I272" s="36" t="e">
        <f>Tabla2[[#This Row],[Precio Unitario ARS]]/Tabla2[[#This Row],[TC BNA]]</f>
        <v>#DIV/0!</v>
      </c>
      <c r="J272" s="37"/>
      <c r="K272" s="33"/>
      <c r="L272" s="37"/>
      <c r="M272" s="38">
        <f>(Tabla2[[#This Row],[Precio Unitario ARS]]-(Tabla2[[#This Row],[Precio Unitario ARS]]*Tabla2[[#This Row],[DTO]]))*Tabla2[[#This Row],[Cantidad]]</f>
        <v>0</v>
      </c>
      <c r="N272" s="39">
        <f>Tabla2[[#This Row],[Subtotal ARS]]+(Tabla2[[#This Row],[Subtotal ARS]]*Tabla2[[#This Row],[IVA]])</f>
        <v>0</v>
      </c>
      <c r="O272" s="39" t="e">
        <f>Tabla2[[#This Row],[TOTAL ARS]]/Tabla2[[#This Row],[TC BNA]]</f>
        <v>#DIV/0!</v>
      </c>
      <c r="P272" s="40">
        <f>_xlfn.XLOOKUP(A272,'TC_BNA xlsx'!A:A,'TC_BNA xlsx'!C:C,"No encontrado")</f>
        <v>0</v>
      </c>
      <c r="Q272" s="22"/>
    </row>
    <row r="273" spans="1:17" x14ac:dyDescent="0.25">
      <c r="A273" s="33"/>
      <c r="B273" s="21">
        <f>MONTH(Tabla2[[#This Row],[Fecha]])</f>
        <v>1</v>
      </c>
      <c r="C273" s="22"/>
      <c r="D273" s="41">
        <f>IFERROR(_xlfn.XLOOKUP(Tabla2[[#This Row],[Artículo]],Tabla1[Artículos],Tabla1[Rubro]),"")</f>
        <v>0</v>
      </c>
      <c r="E273" s="33"/>
      <c r="F273" s="34"/>
      <c r="G273" s="33"/>
      <c r="H273" s="35"/>
      <c r="I273" s="36" t="e">
        <f>Tabla2[[#This Row],[Precio Unitario ARS]]/Tabla2[[#This Row],[TC BNA]]</f>
        <v>#DIV/0!</v>
      </c>
      <c r="J273" s="37"/>
      <c r="K273" s="33"/>
      <c r="L273" s="37"/>
      <c r="M273" s="38">
        <f>(Tabla2[[#This Row],[Precio Unitario ARS]]-(Tabla2[[#This Row],[Precio Unitario ARS]]*Tabla2[[#This Row],[DTO]]))*Tabla2[[#This Row],[Cantidad]]</f>
        <v>0</v>
      </c>
      <c r="N273" s="39">
        <f>Tabla2[[#This Row],[Subtotal ARS]]+(Tabla2[[#This Row],[Subtotal ARS]]*Tabla2[[#This Row],[IVA]])</f>
        <v>0</v>
      </c>
      <c r="O273" s="39" t="e">
        <f>Tabla2[[#This Row],[TOTAL ARS]]/Tabla2[[#This Row],[TC BNA]]</f>
        <v>#DIV/0!</v>
      </c>
      <c r="P273" s="40">
        <f>_xlfn.XLOOKUP(A273,'TC_BNA xlsx'!A:A,'TC_BNA xlsx'!C:C,"No encontrado")</f>
        <v>0</v>
      </c>
      <c r="Q273" s="22"/>
    </row>
    <row r="274" spans="1:17" x14ac:dyDescent="0.25">
      <c r="A274" s="33"/>
      <c r="B274" s="21">
        <f>MONTH(Tabla2[[#This Row],[Fecha]])</f>
        <v>1</v>
      </c>
      <c r="C274" s="22"/>
      <c r="D274" s="41">
        <f>IFERROR(_xlfn.XLOOKUP(Tabla2[[#This Row],[Artículo]],Tabla1[Artículos],Tabla1[Rubro]),"")</f>
        <v>0</v>
      </c>
      <c r="E274" s="33"/>
      <c r="F274" s="34"/>
      <c r="G274" s="33"/>
      <c r="H274" s="35"/>
      <c r="I274" s="36" t="e">
        <f>Tabla2[[#This Row],[Precio Unitario ARS]]/Tabla2[[#This Row],[TC BNA]]</f>
        <v>#DIV/0!</v>
      </c>
      <c r="J274" s="37"/>
      <c r="K274" s="33"/>
      <c r="L274" s="37"/>
      <c r="M274" s="38">
        <f>(Tabla2[[#This Row],[Precio Unitario ARS]]-(Tabla2[[#This Row],[Precio Unitario ARS]]*Tabla2[[#This Row],[DTO]]))*Tabla2[[#This Row],[Cantidad]]</f>
        <v>0</v>
      </c>
      <c r="N274" s="39">
        <f>Tabla2[[#This Row],[Subtotal ARS]]+(Tabla2[[#This Row],[Subtotal ARS]]*Tabla2[[#This Row],[IVA]])</f>
        <v>0</v>
      </c>
      <c r="O274" s="39" t="e">
        <f>Tabla2[[#This Row],[TOTAL ARS]]/Tabla2[[#This Row],[TC BNA]]</f>
        <v>#DIV/0!</v>
      </c>
      <c r="P274" s="40">
        <f>_xlfn.XLOOKUP(A274,'TC_BNA xlsx'!A:A,'TC_BNA xlsx'!C:C,"No encontrado")</f>
        <v>0</v>
      </c>
      <c r="Q274" s="22"/>
    </row>
    <row r="275" spans="1:17" x14ac:dyDescent="0.25">
      <c r="A275" s="33"/>
      <c r="B275" s="21">
        <f>MONTH(Tabla2[[#This Row],[Fecha]])</f>
        <v>1</v>
      </c>
      <c r="C275" s="22"/>
      <c r="D275" s="41">
        <f>IFERROR(_xlfn.XLOOKUP(Tabla2[[#This Row],[Artículo]],Tabla1[Artículos],Tabla1[Rubro]),"")</f>
        <v>0</v>
      </c>
      <c r="E275" s="33"/>
      <c r="F275" s="34"/>
      <c r="G275" s="33"/>
      <c r="H275" s="35"/>
      <c r="I275" s="36" t="e">
        <f>Tabla2[[#This Row],[Precio Unitario ARS]]/Tabla2[[#This Row],[TC BNA]]</f>
        <v>#DIV/0!</v>
      </c>
      <c r="J275" s="37"/>
      <c r="K275" s="33"/>
      <c r="L275" s="37"/>
      <c r="M275" s="38">
        <f>(Tabla2[[#This Row],[Precio Unitario ARS]]-(Tabla2[[#This Row],[Precio Unitario ARS]]*Tabla2[[#This Row],[DTO]]))*Tabla2[[#This Row],[Cantidad]]</f>
        <v>0</v>
      </c>
      <c r="N275" s="39">
        <f>Tabla2[[#This Row],[Subtotal ARS]]+(Tabla2[[#This Row],[Subtotal ARS]]*Tabla2[[#This Row],[IVA]])</f>
        <v>0</v>
      </c>
      <c r="O275" s="39" t="e">
        <f>Tabla2[[#This Row],[TOTAL ARS]]/Tabla2[[#This Row],[TC BNA]]</f>
        <v>#DIV/0!</v>
      </c>
      <c r="P275" s="40">
        <f>_xlfn.XLOOKUP(A275,'TC_BNA xlsx'!A:A,'TC_BNA xlsx'!C:C,"No encontrado")</f>
        <v>0</v>
      </c>
      <c r="Q275" s="22"/>
    </row>
    <row r="276" spans="1:17" x14ac:dyDescent="0.25">
      <c r="A276" s="33"/>
      <c r="B276" s="21">
        <f>MONTH(Tabla2[[#This Row],[Fecha]])</f>
        <v>1</v>
      </c>
      <c r="C276" s="22"/>
      <c r="D276" s="41">
        <f>IFERROR(_xlfn.XLOOKUP(Tabla2[[#This Row],[Artículo]],Tabla1[Artículos],Tabla1[Rubro]),"")</f>
        <v>0</v>
      </c>
      <c r="E276" s="33"/>
      <c r="F276" s="34"/>
      <c r="G276" s="33"/>
      <c r="H276" s="35"/>
      <c r="I276" s="36" t="e">
        <f>Tabla2[[#This Row],[Precio Unitario ARS]]/Tabla2[[#This Row],[TC BNA]]</f>
        <v>#DIV/0!</v>
      </c>
      <c r="J276" s="37"/>
      <c r="K276" s="33"/>
      <c r="L276" s="37"/>
      <c r="M276" s="38">
        <f>(Tabla2[[#This Row],[Precio Unitario ARS]]-(Tabla2[[#This Row],[Precio Unitario ARS]]*Tabla2[[#This Row],[DTO]]))*Tabla2[[#This Row],[Cantidad]]</f>
        <v>0</v>
      </c>
      <c r="N276" s="39">
        <f>Tabla2[[#This Row],[Subtotal ARS]]+(Tabla2[[#This Row],[Subtotal ARS]]*Tabla2[[#This Row],[IVA]])</f>
        <v>0</v>
      </c>
      <c r="O276" s="39" t="e">
        <f>Tabla2[[#This Row],[TOTAL ARS]]/Tabla2[[#This Row],[TC BNA]]</f>
        <v>#DIV/0!</v>
      </c>
      <c r="P276" s="40">
        <f>_xlfn.XLOOKUP(A276,'TC_BNA xlsx'!A:A,'TC_BNA xlsx'!C:C,"No encontrado")</f>
        <v>0</v>
      </c>
      <c r="Q276" s="22"/>
    </row>
    <row r="277" spans="1:17" x14ac:dyDescent="0.25">
      <c r="A277" s="33"/>
      <c r="B277" s="21">
        <f>MONTH(Tabla2[[#This Row],[Fecha]])</f>
        <v>1</v>
      </c>
      <c r="C277" s="22"/>
      <c r="D277" s="41">
        <f>IFERROR(_xlfn.XLOOKUP(Tabla2[[#This Row],[Artículo]],Tabla1[Artículos],Tabla1[Rubro]),"")</f>
        <v>0</v>
      </c>
      <c r="E277" s="33"/>
      <c r="F277" s="34"/>
      <c r="G277" s="33"/>
      <c r="H277" s="35"/>
      <c r="I277" s="36" t="e">
        <f>Tabla2[[#This Row],[Precio Unitario ARS]]/Tabla2[[#This Row],[TC BNA]]</f>
        <v>#DIV/0!</v>
      </c>
      <c r="J277" s="37"/>
      <c r="K277" s="33"/>
      <c r="L277" s="37"/>
      <c r="M277" s="38">
        <f>(Tabla2[[#This Row],[Precio Unitario ARS]]-(Tabla2[[#This Row],[Precio Unitario ARS]]*Tabla2[[#This Row],[DTO]]))*Tabla2[[#This Row],[Cantidad]]</f>
        <v>0</v>
      </c>
      <c r="N277" s="39">
        <f>Tabla2[[#This Row],[Subtotal ARS]]+(Tabla2[[#This Row],[Subtotal ARS]]*Tabla2[[#This Row],[IVA]])</f>
        <v>0</v>
      </c>
      <c r="O277" s="39" t="e">
        <f>Tabla2[[#This Row],[TOTAL ARS]]/Tabla2[[#This Row],[TC BNA]]</f>
        <v>#DIV/0!</v>
      </c>
      <c r="P277" s="40">
        <f>_xlfn.XLOOKUP(A277,'TC_BNA xlsx'!A:A,'TC_BNA xlsx'!C:C,"No encontrado")</f>
        <v>0</v>
      </c>
      <c r="Q277" s="22"/>
    </row>
    <row r="278" spans="1:17" x14ac:dyDescent="0.25">
      <c r="A278" s="33"/>
      <c r="B278" s="21">
        <f>MONTH(Tabla2[[#This Row],[Fecha]])</f>
        <v>1</v>
      </c>
      <c r="C278" s="22"/>
      <c r="D278" s="41">
        <f>IFERROR(_xlfn.XLOOKUP(Tabla2[[#This Row],[Artículo]],Tabla1[Artículos],Tabla1[Rubro]),"")</f>
        <v>0</v>
      </c>
      <c r="E278" s="33"/>
      <c r="F278" s="34"/>
      <c r="G278" s="33"/>
      <c r="H278" s="35"/>
      <c r="I278" s="36" t="e">
        <f>Tabla2[[#This Row],[Precio Unitario ARS]]/Tabla2[[#This Row],[TC BNA]]</f>
        <v>#DIV/0!</v>
      </c>
      <c r="J278" s="37"/>
      <c r="K278" s="33"/>
      <c r="L278" s="37"/>
      <c r="M278" s="38">
        <f>(Tabla2[[#This Row],[Precio Unitario ARS]]-(Tabla2[[#This Row],[Precio Unitario ARS]]*Tabla2[[#This Row],[DTO]]))*Tabla2[[#This Row],[Cantidad]]</f>
        <v>0</v>
      </c>
      <c r="N278" s="39">
        <f>Tabla2[[#This Row],[Subtotal ARS]]+(Tabla2[[#This Row],[Subtotal ARS]]*Tabla2[[#This Row],[IVA]])</f>
        <v>0</v>
      </c>
      <c r="O278" s="39" t="e">
        <f>Tabla2[[#This Row],[TOTAL ARS]]/Tabla2[[#This Row],[TC BNA]]</f>
        <v>#DIV/0!</v>
      </c>
      <c r="P278" s="40">
        <f>_xlfn.XLOOKUP(A278,'TC_BNA xlsx'!A:A,'TC_BNA xlsx'!C:C,"No encontrado")</f>
        <v>0</v>
      </c>
      <c r="Q278" s="22"/>
    </row>
    <row r="279" spans="1:17" x14ac:dyDescent="0.25">
      <c r="A279" s="33"/>
      <c r="B279" s="21">
        <f>MONTH(Tabla2[[#This Row],[Fecha]])</f>
        <v>1</v>
      </c>
      <c r="C279" s="22"/>
      <c r="D279" s="41">
        <f>IFERROR(_xlfn.XLOOKUP(Tabla2[[#This Row],[Artículo]],Tabla1[Artículos],Tabla1[Rubro]),"")</f>
        <v>0</v>
      </c>
      <c r="E279" s="33"/>
      <c r="F279" s="34"/>
      <c r="G279" s="33"/>
      <c r="H279" s="35"/>
      <c r="I279" s="36" t="e">
        <f>Tabla2[[#This Row],[Precio Unitario ARS]]/Tabla2[[#This Row],[TC BNA]]</f>
        <v>#DIV/0!</v>
      </c>
      <c r="J279" s="37"/>
      <c r="K279" s="33"/>
      <c r="L279" s="37"/>
      <c r="M279" s="38">
        <f>(Tabla2[[#This Row],[Precio Unitario ARS]]-(Tabla2[[#This Row],[Precio Unitario ARS]]*Tabla2[[#This Row],[DTO]]))*Tabla2[[#This Row],[Cantidad]]</f>
        <v>0</v>
      </c>
      <c r="N279" s="39">
        <f>Tabla2[[#This Row],[Subtotal ARS]]+(Tabla2[[#This Row],[Subtotal ARS]]*Tabla2[[#This Row],[IVA]])</f>
        <v>0</v>
      </c>
      <c r="O279" s="39" t="e">
        <f>Tabla2[[#This Row],[TOTAL ARS]]/Tabla2[[#This Row],[TC BNA]]</f>
        <v>#DIV/0!</v>
      </c>
      <c r="P279" s="40">
        <f>_xlfn.XLOOKUP(A279,'TC_BNA xlsx'!A:A,'TC_BNA xlsx'!C:C,"No encontrado")</f>
        <v>0</v>
      </c>
      <c r="Q279" s="22"/>
    </row>
    <row r="280" spans="1:17" x14ac:dyDescent="0.25">
      <c r="A280" s="33"/>
      <c r="B280" s="21">
        <f>MONTH(Tabla2[[#This Row],[Fecha]])</f>
        <v>1</v>
      </c>
      <c r="C280" s="22"/>
      <c r="D280" s="41">
        <f>IFERROR(_xlfn.XLOOKUP(Tabla2[[#This Row],[Artículo]],Tabla1[Artículos],Tabla1[Rubro]),"")</f>
        <v>0</v>
      </c>
      <c r="E280" s="33"/>
      <c r="F280" s="34"/>
      <c r="G280" s="33"/>
      <c r="H280" s="35"/>
      <c r="I280" s="36" t="e">
        <f>Tabla2[[#This Row],[Precio Unitario ARS]]/Tabla2[[#This Row],[TC BNA]]</f>
        <v>#DIV/0!</v>
      </c>
      <c r="J280" s="37"/>
      <c r="K280" s="33"/>
      <c r="L280" s="37"/>
      <c r="M280" s="38">
        <f>(Tabla2[[#This Row],[Precio Unitario ARS]]-(Tabla2[[#This Row],[Precio Unitario ARS]]*Tabla2[[#This Row],[DTO]]))*Tabla2[[#This Row],[Cantidad]]</f>
        <v>0</v>
      </c>
      <c r="N280" s="39">
        <f>Tabla2[[#This Row],[Subtotal ARS]]+(Tabla2[[#This Row],[Subtotal ARS]]*Tabla2[[#This Row],[IVA]])</f>
        <v>0</v>
      </c>
      <c r="O280" s="39" t="e">
        <f>Tabla2[[#This Row],[TOTAL ARS]]/Tabla2[[#This Row],[TC BNA]]</f>
        <v>#DIV/0!</v>
      </c>
      <c r="P280" s="40">
        <f>_xlfn.XLOOKUP(A280,'TC_BNA xlsx'!A:A,'TC_BNA xlsx'!C:C,"No encontrado")</f>
        <v>0</v>
      </c>
      <c r="Q280" s="22"/>
    </row>
    <row r="281" spans="1:17" x14ac:dyDescent="0.25">
      <c r="A281" s="33"/>
      <c r="B281" s="21">
        <f>MONTH(Tabla2[[#This Row],[Fecha]])</f>
        <v>1</v>
      </c>
      <c r="C281" s="22"/>
      <c r="D281" s="41">
        <f>IFERROR(_xlfn.XLOOKUP(Tabla2[[#This Row],[Artículo]],Tabla1[Artículos],Tabla1[Rubro]),"")</f>
        <v>0</v>
      </c>
      <c r="E281" s="33"/>
      <c r="F281" s="34"/>
      <c r="G281" s="33"/>
      <c r="H281" s="35"/>
      <c r="I281" s="36" t="e">
        <f>Tabla2[[#This Row],[Precio Unitario ARS]]/Tabla2[[#This Row],[TC BNA]]</f>
        <v>#DIV/0!</v>
      </c>
      <c r="J281" s="37"/>
      <c r="K281" s="33"/>
      <c r="L281" s="37"/>
      <c r="M281" s="38">
        <f>(Tabla2[[#This Row],[Precio Unitario ARS]]-(Tabla2[[#This Row],[Precio Unitario ARS]]*Tabla2[[#This Row],[DTO]]))*Tabla2[[#This Row],[Cantidad]]</f>
        <v>0</v>
      </c>
      <c r="N281" s="39">
        <f>Tabla2[[#This Row],[Subtotal ARS]]+(Tabla2[[#This Row],[Subtotal ARS]]*Tabla2[[#This Row],[IVA]])</f>
        <v>0</v>
      </c>
      <c r="O281" s="39" t="e">
        <f>Tabla2[[#This Row],[TOTAL ARS]]/Tabla2[[#This Row],[TC BNA]]</f>
        <v>#DIV/0!</v>
      </c>
      <c r="P281" s="40">
        <f>_xlfn.XLOOKUP(A281,'TC_BNA xlsx'!A:A,'TC_BNA xlsx'!C:C,"No encontrado")</f>
        <v>0</v>
      </c>
      <c r="Q281" s="22"/>
    </row>
    <row r="282" spans="1:17" x14ac:dyDescent="0.25">
      <c r="A282" s="33"/>
      <c r="B282" s="21">
        <f>MONTH(Tabla2[[#This Row],[Fecha]])</f>
        <v>1</v>
      </c>
      <c r="C282" s="22"/>
      <c r="D282" s="41">
        <f>IFERROR(_xlfn.XLOOKUP(Tabla2[[#This Row],[Artículo]],Tabla1[Artículos],Tabla1[Rubro]),"")</f>
        <v>0</v>
      </c>
      <c r="E282" s="33"/>
      <c r="F282" s="34"/>
      <c r="G282" s="33"/>
      <c r="H282" s="35"/>
      <c r="I282" s="36" t="e">
        <f>Tabla2[[#This Row],[Precio Unitario ARS]]/Tabla2[[#This Row],[TC BNA]]</f>
        <v>#DIV/0!</v>
      </c>
      <c r="J282" s="37"/>
      <c r="K282" s="33"/>
      <c r="L282" s="37"/>
      <c r="M282" s="38">
        <f>(Tabla2[[#This Row],[Precio Unitario ARS]]-(Tabla2[[#This Row],[Precio Unitario ARS]]*Tabla2[[#This Row],[DTO]]))*Tabla2[[#This Row],[Cantidad]]</f>
        <v>0</v>
      </c>
      <c r="N282" s="39">
        <f>Tabla2[[#This Row],[Subtotal ARS]]+(Tabla2[[#This Row],[Subtotal ARS]]*Tabla2[[#This Row],[IVA]])</f>
        <v>0</v>
      </c>
      <c r="O282" s="39" t="e">
        <f>Tabla2[[#This Row],[TOTAL ARS]]/Tabla2[[#This Row],[TC BNA]]</f>
        <v>#DIV/0!</v>
      </c>
      <c r="P282" s="40">
        <f>_xlfn.XLOOKUP(A282,'TC_BNA xlsx'!A:A,'TC_BNA xlsx'!C:C,"No encontrado")</f>
        <v>0</v>
      </c>
      <c r="Q282" s="22"/>
    </row>
    <row r="283" spans="1:17" x14ac:dyDescent="0.25">
      <c r="A283" s="33"/>
      <c r="B283" s="21">
        <f>MONTH(Tabla2[[#This Row],[Fecha]])</f>
        <v>1</v>
      </c>
      <c r="C283" s="22"/>
      <c r="D283" s="41">
        <f>IFERROR(_xlfn.XLOOKUP(Tabla2[[#This Row],[Artículo]],Tabla1[Artículos],Tabla1[Rubro]),"")</f>
        <v>0</v>
      </c>
      <c r="E283" s="33"/>
      <c r="F283" s="34"/>
      <c r="G283" s="33"/>
      <c r="H283" s="35"/>
      <c r="I283" s="36" t="e">
        <f>Tabla2[[#This Row],[Precio Unitario ARS]]/Tabla2[[#This Row],[TC BNA]]</f>
        <v>#DIV/0!</v>
      </c>
      <c r="J283" s="37"/>
      <c r="K283" s="33"/>
      <c r="L283" s="37"/>
      <c r="M283" s="38">
        <f>(Tabla2[[#This Row],[Precio Unitario ARS]]-(Tabla2[[#This Row],[Precio Unitario ARS]]*Tabla2[[#This Row],[DTO]]))*Tabla2[[#This Row],[Cantidad]]</f>
        <v>0</v>
      </c>
      <c r="N283" s="39">
        <f>Tabla2[[#This Row],[Subtotal ARS]]+(Tabla2[[#This Row],[Subtotal ARS]]*Tabla2[[#This Row],[IVA]])</f>
        <v>0</v>
      </c>
      <c r="O283" s="39" t="e">
        <f>Tabla2[[#This Row],[TOTAL ARS]]/Tabla2[[#This Row],[TC BNA]]</f>
        <v>#DIV/0!</v>
      </c>
      <c r="P283" s="40">
        <f>_xlfn.XLOOKUP(A283,'TC_BNA xlsx'!A:A,'TC_BNA xlsx'!C:C,"No encontrado")</f>
        <v>0</v>
      </c>
      <c r="Q283" s="22"/>
    </row>
    <row r="284" spans="1:17" x14ac:dyDescent="0.25">
      <c r="A284" s="33"/>
      <c r="B284" s="21">
        <f>MONTH(Tabla2[[#This Row],[Fecha]])</f>
        <v>1</v>
      </c>
      <c r="C284" s="22"/>
      <c r="D284" s="41">
        <f>IFERROR(_xlfn.XLOOKUP(Tabla2[[#This Row],[Artículo]],Tabla1[Artículos],Tabla1[Rubro]),"")</f>
        <v>0</v>
      </c>
      <c r="E284" s="33"/>
      <c r="F284" s="34"/>
      <c r="G284" s="33"/>
      <c r="H284" s="35"/>
      <c r="I284" s="36" t="e">
        <f>Tabla2[[#This Row],[Precio Unitario ARS]]/Tabla2[[#This Row],[TC BNA]]</f>
        <v>#DIV/0!</v>
      </c>
      <c r="J284" s="37"/>
      <c r="K284" s="33"/>
      <c r="L284" s="37"/>
      <c r="M284" s="38">
        <f>(Tabla2[[#This Row],[Precio Unitario ARS]]-(Tabla2[[#This Row],[Precio Unitario ARS]]*Tabla2[[#This Row],[DTO]]))*Tabla2[[#This Row],[Cantidad]]</f>
        <v>0</v>
      </c>
      <c r="N284" s="39">
        <f>Tabla2[[#This Row],[Subtotal ARS]]+(Tabla2[[#This Row],[Subtotal ARS]]*Tabla2[[#This Row],[IVA]])</f>
        <v>0</v>
      </c>
      <c r="O284" s="39" t="e">
        <f>Tabla2[[#This Row],[TOTAL ARS]]/Tabla2[[#This Row],[TC BNA]]</f>
        <v>#DIV/0!</v>
      </c>
      <c r="P284" s="40">
        <f>_xlfn.XLOOKUP(A284,'TC_BNA xlsx'!A:A,'TC_BNA xlsx'!C:C,"No encontrado")</f>
        <v>0</v>
      </c>
      <c r="Q284" s="22"/>
    </row>
    <row r="285" spans="1:17" x14ac:dyDescent="0.25">
      <c r="A285" s="33"/>
      <c r="B285" s="21">
        <f>MONTH(Tabla2[[#This Row],[Fecha]])</f>
        <v>1</v>
      </c>
      <c r="C285" s="22"/>
      <c r="D285" s="41">
        <f>IFERROR(_xlfn.XLOOKUP(Tabla2[[#This Row],[Artículo]],Tabla1[Artículos],Tabla1[Rubro]),"")</f>
        <v>0</v>
      </c>
      <c r="E285" s="33"/>
      <c r="F285" s="34"/>
      <c r="G285" s="33"/>
      <c r="H285" s="35"/>
      <c r="I285" s="36" t="e">
        <f>Tabla2[[#This Row],[Precio Unitario ARS]]/Tabla2[[#This Row],[TC BNA]]</f>
        <v>#DIV/0!</v>
      </c>
      <c r="J285" s="37"/>
      <c r="K285" s="33"/>
      <c r="L285" s="37"/>
      <c r="M285" s="38">
        <f>(Tabla2[[#This Row],[Precio Unitario ARS]]-(Tabla2[[#This Row],[Precio Unitario ARS]]*Tabla2[[#This Row],[DTO]]))*Tabla2[[#This Row],[Cantidad]]</f>
        <v>0</v>
      </c>
      <c r="N285" s="39">
        <f>Tabla2[[#This Row],[Subtotal ARS]]+(Tabla2[[#This Row],[Subtotal ARS]]*Tabla2[[#This Row],[IVA]])</f>
        <v>0</v>
      </c>
      <c r="O285" s="39" t="e">
        <f>Tabla2[[#This Row],[TOTAL ARS]]/Tabla2[[#This Row],[TC BNA]]</f>
        <v>#DIV/0!</v>
      </c>
      <c r="P285" s="40">
        <f>_xlfn.XLOOKUP(A285,'TC_BNA xlsx'!A:A,'TC_BNA xlsx'!C:C,"No encontrado")</f>
        <v>0</v>
      </c>
      <c r="Q285" s="22"/>
    </row>
    <row r="286" spans="1:17" x14ac:dyDescent="0.25">
      <c r="A286" s="33"/>
      <c r="B286" s="21">
        <f>MONTH(Tabla2[[#This Row],[Fecha]])</f>
        <v>1</v>
      </c>
      <c r="C286" s="22"/>
      <c r="D286" s="41">
        <f>IFERROR(_xlfn.XLOOKUP(Tabla2[[#This Row],[Artículo]],Tabla1[Artículos],Tabla1[Rubro]),"")</f>
        <v>0</v>
      </c>
      <c r="E286" s="33"/>
      <c r="F286" s="34"/>
      <c r="G286" s="33"/>
      <c r="H286" s="35"/>
      <c r="I286" s="36" t="e">
        <f>Tabla2[[#This Row],[Precio Unitario ARS]]/Tabla2[[#This Row],[TC BNA]]</f>
        <v>#DIV/0!</v>
      </c>
      <c r="J286" s="37"/>
      <c r="K286" s="33"/>
      <c r="L286" s="37"/>
      <c r="M286" s="38">
        <f>(Tabla2[[#This Row],[Precio Unitario ARS]]-(Tabla2[[#This Row],[Precio Unitario ARS]]*Tabla2[[#This Row],[DTO]]))*Tabla2[[#This Row],[Cantidad]]</f>
        <v>0</v>
      </c>
      <c r="N286" s="39">
        <f>Tabla2[[#This Row],[Subtotal ARS]]+(Tabla2[[#This Row],[Subtotal ARS]]*Tabla2[[#This Row],[IVA]])</f>
        <v>0</v>
      </c>
      <c r="O286" s="39" t="e">
        <f>Tabla2[[#This Row],[TOTAL ARS]]/Tabla2[[#This Row],[TC BNA]]</f>
        <v>#DIV/0!</v>
      </c>
      <c r="P286" s="40">
        <f>_xlfn.XLOOKUP(A286,'TC_BNA xlsx'!A:A,'TC_BNA xlsx'!C:C,"No encontrado")</f>
        <v>0</v>
      </c>
      <c r="Q286" s="22"/>
    </row>
    <row r="287" spans="1:17" x14ac:dyDescent="0.25">
      <c r="A287" s="33"/>
      <c r="B287" s="21">
        <f>MONTH(Tabla2[[#This Row],[Fecha]])</f>
        <v>1</v>
      </c>
      <c r="C287" s="22"/>
      <c r="D287" s="41">
        <f>IFERROR(_xlfn.XLOOKUP(Tabla2[[#This Row],[Artículo]],Tabla1[Artículos],Tabla1[Rubro]),"")</f>
        <v>0</v>
      </c>
      <c r="E287" s="33"/>
      <c r="F287" s="34"/>
      <c r="G287" s="33"/>
      <c r="H287" s="35"/>
      <c r="I287" s="36" t="e">
        <f>Tabla2[[#This Row],[Precio Unitario ARS]]/Tabla2[[#This Row],[TC BNA]]</f>
        <v>#DIV/0!</v>
      </c>
      <c r="J287" s="37"/>
      <c r="K287" s="33"/>
      <c r="L287" s="37"/>
      <c r="M287" s="38">
        <f>(Tabla2[[#This Row],[Precio Unitario ARS]]-(Tabla2[[#This Row],[Precio Unitario ARS]]*Tabla2[[#This Row],[DTO]]))*Tabla2[[#This Row],[Cantidad]]</f>
        <v>0</v>
      </c>
      <c r="N287" s="39">
        <f>Tabla2[[#This Row],[Subtotal ARS]]+(Tabla2[[#This Row],[Subtotal ARS]]*Tabla2[[#This Row],[IVA]])</f>
        <v>0</v>
      </c>
      <c r="O287" s="39" t="e">
        <f>Tabla2[[#This Row],[TOTAL ARS]]/Tabla2[[#This Row],[TC BNA]]</f>
        <v>#DIV/0!</v>
      </c>
      <c r="P287" s="40">
        <f>_xlfn.XLOOKUP(A287,'TC_BNA xlsx'!A:A,'TC_BNA xlsx'!C:C,"No encontrado")</f>
        <v>0</v>
      </c>
      <c r="Q287" s="22"/>
    </row>
    <row r="288" spans="1:17" x14ac:dyDescent="0.25">
      <c r="A288" s="33"/>
      <c r="B288" s="21">
        <f>MONTH(Tabla2[[#This Row],[Fecha]])</f>
        <v>1</v>
      </c>
      <c r="C288" s="22"/>
      <c r="D288" s="41">
        <f>IFERROR(_xlfn.XLOOKUP(Tabla2[[#This Row],[Artículo]],Tabla1[Artículos],Tabla1[Rubro]),"")</f>
        <v>0</v>
      </c>
      <c r="E288" s="33"/>
      <c r="F288" s="34"/>
      <c r="G288" s="33"/>
      <c r="H288" s="35"/>
      <c r="I288" s="36" t="e">
        <f>Tabla2[[#This Row],[Precio Unitario ARS]]/Tabla2[[#This Row],[TC BNA]]</f>
        <v>#DIV/0!</v>
      </c>
      <c r="J288" s="37"/>
      <c r="K288" s="33"/>
      <c r="L288" s="37"/>
      <c r="M288" s="38">
        <f>(Tabla2[[#This Row],[Precio Unitario ARS]]-(Tabla2[[#This Row],[Precio Unitario ARS]]*Tabla2[[#This Row],[DTO]]))*Tabla2[[#This Row],[Cantidad]]</f>
        <v>0</v>
      </c>
      <c r="N288" s="39">
        <f>Tabla2[[#This Row],[Subtotal ARS]]+(Tabla2[[#This Row],[Subtotal ARS]]*Tabla2[[#This Row],[IVA]])</f>
        <v>0</v>
      </c>
      <c r="O288" s="39" t="e">
        <f>Tabla2[[#This Row],[TOTAL ARS]]/Tabla2[[#This Row],[TC BNA]]</f>
        <v>#DIV/0!</v>
      </c>
      <c r="P288" s="40">
        <f>_xlfn.XLOOKUP(A288,'TC_BNA xlsx'!A:A,'TC_BNA xlsx'!C:C,"No encontrado")</f>
        <v>0</v>
      </c>
      <c r="Q288" s="22"/>
    </row>
    <row r="289" spans="1:17" x14ac:dyDescent="0.25">
      <c r="A289" s="33"/>
      <c r="B289" s="21">
        <f>MONTH(Tabla2[[#This Row],[Fecha]])</f>
        <v>1</v>
      </c>
      <c r="C289" s="22"/>
      <c r="D289" s="41">
        <f>IFERROR(_xlfn.XLOOKUP(Tabla2[[#This Row],[Artículo]],Tabla1[Artículos],Tabla1[Rubro]),"")</f>
        <v>0</v>
      </c>
      <c r="E289" s="33"/>
      <c r="F289" s="34"/>
      <c r="G289" s="33"/>
      <c r="H289" s="35"/>
      <c r="I289" s="36" t="e">
        <f>Tabla2[[#This Row],[Precio Unitario ARS]]/Tabla2[[#This Row],[TC BNA]]</f>
        <v>#DIV/0!</v>
      </c>
      <c r="J289" s="37"/>
      <c r="K289" s="33"/>
      <c r="L289" s="37"/>
      <c r="M289" s="38">
        <f>(Tabla2[[#This Row],[Precio Unitario ARS]]-(Tabla2[[#This Row],[Precio Unitario ARS]]*Tabla2[[#This Row],[DTO]]))*Tabla2[[#This Row],[Cantidad]]</f>
        <v>0</v>
      </c>
      <c r="N289" s="39">
        <f>Tabla2[[#This Row],[Subtotal ARS]]+(Tabla2[[#This Row],[Subtotal ARS]]*Tabla2[[#This Row],[IVA]])</f>
        <v>0</v>
      </c>
      <c r="O289" s="39" t="e">
        <f>Tabla2[[#This Row],[TOTAL ARS]]/Tabla2[[#This Row],[TC BNA]]</f>
        <v>#DIV/0!</v>
      </c>
      <c r="P289" s="40">
        <f>_xlfn.XLOOKUP(A289,'TC_BNA xlsx'!A:A,'TC_BNA xlsx'!C:C,"No encontrado")</f>
        <v>0</v>
      </c>
      <c r="Q289" s="22"/>
    </row>
    <row r="290" spans="1:17" x14ac:dyDescent="0.25">
      <c r="A290" s="33"/>
      <c r="B290" s="21">
        <f>MONTH(Tabla2[[#This Row],[Fecha]])</f>
        <v>1</v>
      </c>
      <c r="C290" s="22"/>
      <c r="D290" s="41">
        <f>IFERROR(_xlfn.XLOOKUP(Tabla2[[#This Row],[Artículo]],Tabla1[Artículos],Tabla1[Rubro]),"")</f>
        <v>0</v>
      </c>
      <c r="E290" s="33"/>
      <c r="F290" s="34"/>
      <c r="G290" s="33"/>
      <c r="H290" s="35"/>
      <c r="I290" s="36" t="e">
        <f>Tabla2[[#This Row],[Precio Unitario ARS]]/Tabla2[[#This Row],[TC BNA]]</f>
        <v>#DIV/0!</v>
      </c>
      <c r="J290" s="37"/>
      <c r="K290" s="33"/>
      <c r="L290" s="37"/>
      <c r="M290" s="38">
        <f>(Tabla2[[#This Row],[Precio Unitario ARS]]-(Tabla2[[#This Row],[Precio Unitario ARS]]*Tabla2[[#This Row],[DTO]]))*Tabla2[[#This Row],[Cantidad]]</f>
        <v>0</v>
      </c>
      <c r="N290" s="39">
        <f>Tabla2[[#This Row],[Subtotal ARS]]+(Tabla2[[#This Row],[Subtotal ARS]]*Tabla2[[#This Row],[IVA]])</f>
        <v>0</v>
      </c>
      <c r="O290" s="39" t="e">
        <f>Tabla2[[#This Row],[TOTAL ARS]]/Tabla2[[#This Row],[TC BNA]]</f>
        <v>#DIV/0!</v>
      </c>
      <c r="P290" s="40">
        <f>_xlfn.XLOOKUP(A290,'TC_BNA xlsx'!A:A,'TC_BNA xlsx'!C:C,"No encontrado")</f>
        <v>0</v>
      </c>
      <c r="Q290" s="22"/>
    </row>
    <row r="291" spans="1:17" x14ac:dyDescent="0.25">
      <c r="A291" s="33"/>
      <c r="B291" s="21">
        <f>MONTH(Tabla2[[#This Row],[Fecha]])</f>
        <v>1</v>
      </c>
      <c r="C291" s="22"/>
      <c r="D291" s="41">
        <f>IFERROR(_xlfn.XLOOKUP(Tabla2[[#This Row],[Artículo]],Tabla1[Artículos],Tabla1[Rubro]),"")</f>
        <v>0</v>
      </c>
      <c r="E291" s="33"/>
      <c r="F291" s="34"/>
      <c r="G291" s="33"/>
      <c r="H291" s="35"/>
      <c r="I291" s="36" t="e">
        <f>Tabla2[[#This Row],[Precio Unitario ARS]]/Tabla2[[#This Row],[TC BNA]]</f>
        <v>#DIV/0!</v>
      </c>
      <c r="J291" s="37"/>
      <c r="K291" s="33"/>
      <c r="L291" s="37"/>
      <c r="M291" s="38">
        <f>(Tabla2[[#This Row],[Precio Unitario ARS]]-(Tabla2[[#This Row],[Precio Unitario ARS]]*Tabla2[[#This Row],[DTO]]))*Tabla2[[#This Row],[Cantidad]]</f>
        <v>0</v>
      </c>
      <c r="N291" s="39">
        <f>Tabla2[[#This Row],[Subtotal ARS]]+(Tabla2[[#This Row],[Subtotal ARS]]*Tabla2[[#This Row],[IVA]])</f>
        <v>0</v>
      </c>
      <c r="O291" s="39" t="e">
        <f>Tabla2[[#This Row],[TOTAL ARS]]/Tabla2[[#This Row],[TC BNA]]</f>
        <v>#DIV/0!</v>
      </c>
      <c r="P291" s="40">
        <f>_xlfn.XLOOKUP(A291,'TC_BNA xlsx'!A:A,'TC_BNA xlsx'!C:C,"No encontrado")</f>
        <v>0</v>
      </c>
      <c r="Q291" s="22"/>
    </row>
    <row r="292" spans="1:17" x14ac:dyDescent="0.25">
      <c r="A292" s="33"/>
      <c r="B292" s="21">
        <f>MONTH(Tabla2[[#This Row],[Fecha]])</f>
        <v>1</v>
      </c>
      <c r="C292" s="22"/>
      <c r="D292" s="41">
        <f>IFERROR(_xlfn.XLOOKUP(Tabla2[[#This Row],[Artículo]],Tabla1[Artículos],Tabla1[Rubro]),"")</f>
        <v>0</v>
      </c>
      <c r="E292" s="33"/>
      <c r="F292" s="34"/>
      <c r="G292" s="33"/>
      <c r="H292" s="35"/>
      <c r="I292" s="36" t="e">
        <f>Tabla2[[#This Row],[Precio Unitario ARS]]/Tabla2[[#This Row],[TC BNA]]</f>
        <v>#DIV/0!</v>
      </c>
      <c r="J292" s="37"/>
      <c r="K292" s="33"/>
      <c r="L292" s="37"/>
      <c r="M292" s="38">
        <f>(Tabla2[[#This Row],[Precio Unitario ARS]]-(Tabla2[[#This Row],[Precio Unitario ARS]]*Tabla2[[#This Row],[DTO]]))*Tabla2[[#This Row],[Cantidad]]</f>
        <v>0</v>
      </c>
      <c r="N292" s="39">
        <f>Tabla2[[#This Row],[Subtotal ARS]]+(Tabla2[[#This Row],[Subtotal ARS]]*Tabla2[[#This Row],[IVA]])</f>
        <v>0</v>
      </c>
      <c r="O292" s="39" t="e">
        <f>Tabla2[[#This Row],[TOTAL ARS]]/Tabla2[[#This Row],[TC BNA]]</f>
        <v>#DIV/0!</v>
      </c>
      <c r="P292" s="40">
        <f>_xlfn.XLOOKUP(A292,'TC_BNA xlsx'!A:A,'TC_BNA xlsx'!C:C,"No encontrado")</f>
        <v>0</v>
      </c>
      <c r="Q292" s="22"/>
    </row>
    <row r="293" spans="1:17" x14ac:dyDescent="0.25">
      <c r="A293" s="33"/>
      <c r="B293" s="21">
        <f>MONTH(Tabla2[[#This Row],[Fecha]])</f>
        <v>1</v>
      </c>
      <c r="C293" s="22"/>
      <c r="D293" s="41">
        <f>IFERROR(_xlfn.XLOOKUP(Tabla2[[#This Row],[Artículo]],Tabla1[Artículos],Tabla1[Rubro]),"")</f>
        <v>0</v>
      </c>
      <c r="E293" s="33"/>
      <c r="F293" s="34"/>
      <c r="G293" s="33"/>
      <c r="H293" s="35"/>
      <c r="I293" s="36" t="e">
        <f>Tabla2[[#This Row],[Precio Unitario ARS]]/Tabla2[[#This Row],[TC BNA]]</f>
        <v>#DIV/0!</v>
      </c>
      <c r="J293" s="37"/>
      <c r="K293" s="33"/>
      <c r="L293" s="37"/>
      <c r="M293" s="38">
        <f>(Tabla2[[#This Row],[Precio Unitario ARS]]-(Tabla2[[#This Row],[Precio Unitario ARS]]*Tabla2[[#This Row],[DTO]]))*Tabla2[[#This Row],[Cantidad]]</f>
        <v>0</v>
      </c>
      <c r="N293" s="39">
        <f>Tabla2[[#This Row],[Subtotal ARS]]+(Tabla2[[#This Row],[Subtotal ARS]]*Tabla2[[#This Row],[IVA]])</f>
        <v>0</v>
      </c>
      <c r="O293" s="39" t="e">
        <f>Tabla2[[#This Row],[TOTAL ARS]]/Tabla2[[#This Row],[TC BNA]]</f>
        <v>#DIV/0!</v>
      </c>
      <c r="P293" s="40">
        <f>_xlfn.XLOOKUP(A293,'TC_BNA xlsx'!A:A,'TC_BNA xlsx'!C:C,"No encontrado")</f>
        <v>0</v>
      </c>
      <c r="Q293" s="22"/>
    </row>
    <row r="294" spans="1:17" x14ac:dyDescent="0.25">
      <c r="A294" s="33"/>
      <c r="B294" s="21">
        <f>MONTH(Tabla2[[#This Row],[Fecha]])</f>
        <v>1</v>
      </c>
      <c r="C294" s="22"/>
      <c r="D294" s="41">
        <f>IFERROR(_xlfn.XLOOKUP(Tabla2[[#This Row],[Artículo]],Tabla1[Artículos],Tabla1[Rubro]),"")</f>
        <v>0</v>
      </c>
      <c r="E294" s="33"/>
      <c r="F294" s="34"/>
      <c r="G294" s="33"/>
      <c r="H294" s="35"/>
      <c r="I294" s="36" t="e">
        <f>Tabla2[[#This Row],[Precio Unitario ARS]]/Tabla2[[#This Row],[TC BNA]]</f>
        <v>#DIV/0!</v>
      </c>
      <c r="J294" s="37"/>
      <c r="K294" s="33"/>
      <c r="L294" s="37"/>
      <c r="M294" s="38">
        <f>(Tabla2[[#This Row],[Precio Unitario ARS]]-(Tabla2[[#This Row],[Precio Unitario ARS]]*Tabla2[[#This Row],[DTO]]))*Tabla2[[#This Row],[Cantidad]]</f>
        <v>0</v>
      </c>
      <c r="N294" s="39">
        <f>Tabla2[[#This Row],[Subtotal ARS]]+(Tabla2[[#This Row],[Subtotal ARS]]*Tabla2[[#This Row],[IVA]])</f>
        <v>0</v>
      </c>
      <c r="O294" s="39" t="e">
        <f>Tabla2[[#This Row],[TOTAL ARS]]/Tabla2[[#This Row],[TC BNA]]</f>
        <v>#DIV/0!</v>
      </c>
      <c r="P294" s="40">
        <f>_xlfn.XLOOKUP(A294,'TC_BNA xlsx'!A:A,'TC_BNA xlsx'!C:C,"No encontrado")</f>
        <v>0</v>
      </c>
      <c r="Q294" s="22"/>
    </row>
    <row r="295" spans="1:17" x14ac:dyDescent="0.25">
      <c r="A295" s="33"/>
      <c r="B295" s="21">
        <f>MONTH(Tabla2[[#This Row],[Fecha]])</f>
        <v>1</v>
      </c>
      <c r="C295" s="22"/>
      <c r="D295" s="41">
        <f>IFERROR(_xlfn.XLOOKUP(Tabla2[[#This Row],[Artículo]],Tabla1[Artículos],Tabla1[Rubro]),"")</f>
        <v>0</v>
      </c>
      <c r="E295" s="33"/>
      <c r="F295" s="34"/>
      <c r="G295" s="33"/>
      <c r="H295" s="35"/>
      <c r="I295" s="36" t="e">
        <f>Tabla2[[#This Row],[Precio Unitario ARS]]/Tabla2[[#This Row],[TC BNA]]</f>
        <v>#DIV/0!</v>
      </c>
      <c r="J295" s="37"/>
      <c r="K295" s="33"/>
      <c r="L295" s="37"/>
      <c r="M295" s="38">
        <f>(Tabla2[[#This Row],[Precio Unitario ARS]]-(Tabla2[[#This Row],[Precio Unitario ARS]]*Tabla2[[#This Row],[DTO]]))*Tabla2[[#This Row],[Cantidad]]</f>
        <v>0</v>
      </c>
      <c r="N295" s="39">
        <f>Tabla2[[#This Row],[Subtotal ARS]]+(Tabla2[[#This Row],[Subtotal ARS]]*Tabla2[[#This Row],[IVA]])</f>
        <v>0</v>
      </c>
      <c r="O295" s="39" t="e">
        <f>Tabla2[[#This Row],[TOTAL ARS]]/Tabla2[[#This Row],[TC BNA]]</f>
        <v>#DIV/0!</v>
      </c>
      <c r="P295" s="40">
        <f>_xlfn.XLOOKUP(A295,'TC_BNA xlsx'!A:A,'TC_BNA xlsx'!C:C,"No encontrado")</f>
        <v>0</v>
      </c>
      <c r="Q295" s="22"/>
    </row>
    <row r="296" spans="1:17" x14ac:dyDescent="0.25">
      <c r="A296" s="33"/>
      <c r="B296" s="21">
        <f>MONTH(Tabla2[[#This Row],[Fecha]])</f>
        <v>1</v>
      </c>
      <c r="C296" s="22"/>
      <c r="D296" s="41">
        <f>IFERROR(_xlfn.XLOOKUP(Tabla2[[#This Row],[Artículo]],Tabla1[Artículos],Tabla1[Rubro]),"")</f>
        <v>0</v>
      </c>
      <c r="E296" s="33"/>
      <c r="F296" s="34"/>
      <c r="G296" s="33"/>
      <c r="H296" s="35"/>
      <c r="I296" s="36" t="e">
        <f>Tabla2[[#This Row],[Precio Unitario ARS]]/Tabla2[[#This Row],[TC BNA]]</f>
        <v>#DIV/0!</v>
      </c>
      <c r="J296" s="37"/>
      <c r="K296" s="33"/>
      <c r="L296" s="37"/>
      <c r="M296" s="38">
        <f>(Tabla2[[#This Row],[Precio Unitario ARS]]-(Tabla2[[#This Row],[Precio Unitario ARS]]*Tabla2[[#This Row],[DTO]]))*Tabla2[[#This Row],[Cantidad]]</f>
        <v>0</v>
      </c>
      <c r="N296" s="39">
        <f>Tabla2[[#This Row],[Subtotal ARS]]+(Tabla2[[#This Row],[Subtotal ARS]]*Tabla2[[#This Row],[IVA]])</f>
        <v>0</v>
      </c>
      <c r="O296" s="39" t="e">
        <f>Tabla2[[#This Row],[TOTAL ARS]]/Tabla2[[#This Row],[TC BNA]]</f>
        <v>#DIV/0!</v>
      </c>
      <c r="P296" s="40">
        <f>_xlfn.XLOOKUP(A296,'TC_BNA xlsx'!A:A,'TC_BNA xlsx'!C:C,"No encontrado")</f>
        <v>0</v>
      </c>
      <c r="Q296" s="22"/>
    </row>
    <row r="297" spans="1:17" x14ac:dyDescent="0.25">
      <c r="A297" s="33"/>
      <c r="B297" s="21">
        <f>MONTH(Tabla2[[#This Row],[Fecha]])</f>
        <v>1</v>
      </c>
      <c r="C297" s="22"/>
      <c r="D297" s="41">
        <f>IFERROR(_xlfn.XLOOKUP(Tabla2[[#This Row],[Artículo]],Tabla1[Artículos],Tabla1[Rubro]),"")</f>
        <v>0</v>
      </c>
      <c r="E297" s="33"/>
      <c r="F297" s="34"/>
      <c r="G297" s="33"/>
      <c r="H297" s="35"/>
      <c r="I297" s="36" t="e">
        <f>Tabla2[[#This Row],[Precio Unitario ARS]]/Tabla2[[#This Row],[TC BNA]]</f>
        <v>#DIV/0!</v>
      </c>
      <c r="J297" s="37"/>
      <c r="K297" s="33"/>
      <c r="L297" s="37"/>
      <c r="M297" s="38">
        <f>(Tabla2[[#This Row],[Precio Unitario ARS]]-(Tabla2[[#This Row],[Precio Unitario ARS]]*Tabla2[[#This Row],[DTO]]))*Tabla2[[#This Row],[Cantidad]]</f>
        <v>0</v>
      </c>
      <c r="N297" s="39">
        <f>Tabla2[[#This Row],[Subtotal ARS]]+(Tabla2[[#This Row],[Subtotal ARS]]*Tabla2[[#This Row],[IVA]])</f>
        <v>0</v>
      </c>
      <c r="O297" s="39" t="e">
        <f>Tabla2[[#This Row],[TOTAL ARS]]/Tabla2[[#This Row],[TC BNA]]</f>
        <v>#DIV/0!</v>
      </c>
      <c r="P297" s="40">
        <f>_xlfn.XLOOKUP(A297,'TC_BNA xlsx'!A:A,'TC_BNA xlsx'!C:C,"No encontrado")</f>
        <v>0</v>
      </c>
      <c r="Q297" s="22"/>
    </row>
    <row r="298" spans="1:17" x14ac:dyDescent="0.25">
      <c r="A298" s="33"/>
      <c r="B298" s="21">
        <f>MONTH(Tabla2[[#This Row],[Fecha]])</f>
        <v>1</v>
      </c>
      <c r="C298" s="22"/>
      <c r="D298" s="41">
        <f>IFERROR(_xlfn.XLOOKUP(Tabla2[[#This Row],[Artículo]],Tabla1[Artículos],Tabla1[Rubro]),"")</f>
        <v>0</v>
      </c>
      <c r="E298" s="33"/>
      <c r="F298" s="34"/>
      <c r="G298" s="33"/>
      <c r="H298" s="35"/>
      <c r="I298" s="36" t="e">
        <f>Tabla2[[#This Row],[Precio Unitario ARS]]/Tabla2[[#This Row],[TC BNA]]</f>
        <v>#DIV/0!</v>
      </c>
      <c r="J298" s="37"/>
      <c r="K298" s="33"/>
      <c r="L298" s="37"/>
      <c r="M298" s="38">
        <f>(Tabla2[[#This Row],[Precio Unitario ARS]]-(Tabla2[[#This Row],[Precio Unitario ARS]]*Tabla2[[#This Row],[DTO]]))*Tabla2[[#This Row],[Cantidad]]</f>
        <v>0</v>
      </c>
      <c r="N298" s="39">
        <f>Tabla2[[#This Row],[Subtotal ARS]]+(Tabla2[[#This Row],[Subtotal ARS]]*Tabla2[[#This Row],[IVA]])</f>
        <v>0</v>
      </c>
      <c r="O298" s="39" t="e">
        <f>Tabla2[[#This Row],[TOTAL ARS]]/Tabla2[[#This Row],[TC BNA]]</f>
        <v>#DIV/0!</v>
      </c>
      <c r="P298" s="40">
        <f>_xlfn.XLOOKUP(A298,'TC_BNA xlsx'!A:A,'TC_BNA xlsx'!C:C,"No encontrado")</f>
        <v>0</v>
      </c>
      <c r="Q298" s="22"/>
    </row>
    <row r="299" spans="1:17" x14ac:dyDescent="0.25">
      <c r="A299" s="33"/>
      <c r="B299" s="21">
        <f>MONTH(Tabla2[[#This Row],[Fecha]])</f>
        <v>1</v>
      </c>
      <c r="C299" s="22"/>
      <c r="D299" s="41">
        <f>IFERROR(_xlfn.XLOOKUP(Tabla2[[#This Row],[Artículo]],Tabla1[Artículos],Tabla1[Rubro]),"")</f>
        <v>0</v>
      </c>
      <c r="E299" s="33"/>
      <c r="F299" s="34"/>
      <c r="G299" s="33"/>
      <c r="H299" s="35"/>
      <c r="I299" s="36" t="e">
        <f>Tabla2[[#This Row],[Precio Unitario ARS]]/Tabla2[[#This Row],[TC BNA]]</f>
        <v>#DIV/0!</v>
      </c>
      <c r="J299" s="37"/>
      <c r="K299" s="33"/>
      <c r="L299" s="37"/>
      <c r="M299" s="38">
        <f>(Tabla2[[#This Row],[Precio Unitario ARS]]-(Tabla2[[#This Row],[Precio Unitario ARS]]*Tabla2[[#This Row],[DTO]]))*Tabla2[[#This Row],[Cantidad]]</f>
        <v>0</v>
      </c>
      <c r="N299" s="39">
        <f>Tabla2[[#This Row],[Subtotal ARS]]+(Tabla2[[#This Row],[Subtotal ARS]]*Tabla2[[#This Row],[IVA]])</f>
        <v>0</v>
      </c>
      <c r="O299" s="39" t="e">
        <f>Tabla2[[#This Row],[TOTAL ARS]]/Tabla2[[#This Row],[TC BNA]]</f>
        <v>#DIV/0!</v>
      </c>
      <c r="P299" s="40">
        <f>_xlfn.XLOOKUP(A299,'TC_BNA xlsx'!A:A,'TC_BNA xlsx'!C:C,"No encontrado")</f>
        <v>0</v>
      </c>
      <c r="Q299" s="22"/>
    </row>
    <row r="300" spans="1:17" x14ac:dyDescent="0.25">
      <c r="A300" s="33"/>
      <c r="B300" s="21">
        <f>MONTH(Tabla2[[#This Row],[Fecha]])</f>
        <v>1</v>
      </c>
      <c r="C300" s="22"/>
      <c r="D300" s="41">
        <f>IFERROR(_xlfn.XLOOKUP(Tabla2[[#This Row],[Artículo]],Tabla1[Artículos],Tabla1[Rubro]),"")</f>
        <v>0</v>
      </c>
      <c r="E300" s="33"/>
      <c r="F300" s="34"/>
      <c r="G300" s="33"/>
      <c r="H300" s="35"/>
      <c r="I300" s="36" t="e">
        <f>Tabla2[[#This Row],[Precio Unitario ARS]]/Tabla2[[#This Row],[TC BNA]]</f>
        <v>#DIV/0!</v>
      </c>
      <c r="J300" s="37"/>
      <c r="K300" s="33"/>
      <c r="L300" s="37"/>
      <c r="M300" s="38">
        <f>(Tabla2[[#This Row],[Precio Unitario ARS]]-(Tabla2[[#This Row],[Precio Unitario ARS]]*Tabla2[[#This Row],[DTO]]))*Tabla2[[#This Row],[Cantidad]]</f>
        <v>0</v>
      </c>
      <c r="N300" s="39">
        <f>Tabla2[[#This Row],[Subtotal ARS]]+(Tabla2[[#This Row],[Subtotal ARS]]*Tabla2[[#This Row],[IVA]])</f>
        <v>0</v>
      </c>
      <c r="O300" s="39" t="e">
        <f>Tabla2[[#This Row],[TOTAL ARS]]/Tabla2[[#This Row],[TC BNA]]</f>
        <v>#DIV/0!</v>
      </c>
      <c r="P300" s="40">
        <f>_xlfn.XLOOKUP(A300,'TC_BNA xlsx'!A:A,'TC_BNA xlsx'!C:C,"No encontrado")</f>
        <v>0</v>
      </c>
      <c r="Q300" s="22"/>
    </row>
    <row r="301" spans="1:17" x14ac:dyDescent="0.25">
      <c r="A301" s="33"/>
      <c r="B301" s="21">
        <f>MONTH(Tabla2[[#This Row],[Fecha]])</f>
        <v>1</v>
      </c>
      <c r="C301" s="22"/>
      <c r="D301" s="41">
        <f>IFERROR(_xlfn.XLOOKUP(Tabla2[[#This Row],[Artículo]],Tabla1[Artículos],Tabla1[Rubro]),"")</f>
        <v>0</v>
      </c>
      <c r="E301" s="33"/>
      <c r="F301" s="34"/>
      <c r="G301" s="33"/>
      <c r="H301" s="35"/>
      <c r="I301" s="36" t="e">
        <f>Tabla2[[#This Row],[Precio Unitario ARS]]/Tabla2[[#This Row],[TC BNA]]</f>
        <v>#DIV/0!</v>
      </c>
      <c r="J301" s="37"/>
      <c r="K301" s="33"/>
      <c r="L301" s="37"/>
      <c r="M301" s="38">
        <f>(Tabla2[[#This Row],[Precio Unitario ARS]]-(Tabla2[[#This Row],[Precio Unitario ARS]]*Tabla2[[#This Row],[DTO]]))*Tabla2[[#This Row],[Cantidad]]</f>
        <v>0</v>
      </c>
      <c r="N301" s="39">
        <f>Tabla2[[#This Row],[Subtotal ARS]]+(Tabla2[[#This Row],[Subtotal ARS]]*Tabla2[[#This Row],[IVA]])</f>
        <v>0</v>
      </c>
      <c r="O301" s="39" t="e">
        <f>Tabla2[[#This Row],[TOTAL ARS]]/Tabla2[[#This Row],[TC BNA]]</f>
        <v>#DIV/0!</v>
      </c>
      <c r="P301" s="40">
        <f>_xlfn.XLOOKUP(A301,'TC_BNA xlsx'!A:A,'TC_BNA xlsx'!C:C,"No encontrado")</f>
        <v>0</v>
      </c>
      <c r="Q301" s="22"/>
    </row>
    <row r="302" spans="1:17" x14ac:dyDescent="0.25">
      <c r="A302" s="33"/>
      <c r="B302" s="21">
        <f>MONTH(Tabla2[[#This Row],[Fecha]])</f>
        <v>1</v>
      </c>
      <c r="C302" s="22"/>
      <c r="D302" s="41">
        <f>IFERROR(_xlfn.XLOOKUP(Tabla2[[#This Row],[Artículo]],Tabla1[Artículos],Tabla1[Rubro]),"")</f>
        <v>0</v>
      </c>
      <c r="E302" s="33"/>
      <c r="F302" s="34"/>
      <c r="G302" s="33"/>
      <c r="H302" s="35"/>
      <c r="I302" s="36" t="e">
        <f>Tabla2[[#This Row],[Precio Unitario ARS]]/Tabla2[[#This Row],[TC BNA]]</f>
        <v>#DIV/0!</v>
      </c>
      <c r="J302" s="37"/>
      <c r="K302" s="33"/>
      <c r="L302" s="37"/>
      <c r="M302" s="38">
        <f>(Tabla2[[#This Row],[Precio Unitario ARS]]-(Tabla2[[#This Row],[Precio Unitario ARS]]*Tabla2[[#This Row],[DTO]]))*Tabla2[[#This Row],[Cantidad]]</f>
        <v>0</v>
      </c>
      <c r="N302" s="39">
        <f>Tabla2[[#This Row],[Subtotal ARS]]+(Tabla2[[#This Row],[Subtotal ARS]]*Tabla2[[#This Row],[IVA]])</f>
        <v>0</v>
      </c>
      <c r="O302" s="39" t="e">
        <f>Tabla2[[#This Row],[TOTAL ARS]]/Tabla2[[#This Row],[TC BNA]]</f>
        <v>#DIV/0!</v>
      </c>
      <c r="P302" s="40">
        <f>_xlfn.XLOOKUP(A302,'TC_BNA xlsx'!A:A,'TC_BNA xlsx'!C:C,"No encontrado")</f>
        <v>0</v>
      </c>
      <c r="Q302" s="22"/>
    </row>
    <row r="303" spans="1:17" x14ac:dyDescent="0.25">
      <c r="A303" s="33"/>
      <c r="B303" s="21">
        <f>MONTH(Tabla2[[#This Row],[Fecha]])</f>
        <v>1</v>
      </c>
      <c r="C303" s="22"/>
      <c r="D303" s="41">
        <f>IFERROR(_xlfn.XLOOKUP(Tabla2[[#This Row],[Artículo]],Tabla1[Artículos],Tabla1[Rubro]),"")</f>
        <v>0</v>
      </c>
      <c r="E303" s="33"/>
      <c r="F303" s="34"/>
      <c r="G303" s="33"/>
      <c r="H303" s="35"/>
      <c r="I303" s="36" t="e">
        <f>Tabla2[[#This Row],[Precio Unitario ARS]]/Tabla2[[#This Row],[TC BNA]]</f>
        <v>#DIV/0!</v>
      </c>
      <c r="J303" s="37"/>
      <c r="K303" s="33"/>
      <c r="L303" s="37"/>
      <c r="M303" s="38">
        <f>(Tabla2[[#This Row],[Precio Unitario ARS]]-(Tabla2[[#This Row],[Precio Unitario ARS]]*Tabla2[[#This Row],[DTO]]))*Tabla2[[#This Row],[Cantidad]]</f>
        <v>0</v>
      </c>
      <c r="N303" s="39">
        <f>Tabla2[[#This Row],[Subtotal ARS]]+(Tabla2[[#This Row],[Subtotal ARS]]*Tabla2[[#This Row],[IVA]])</f>
        <v>0</v>
      </c>
      <c r="O303" s="39" t="e">
        <f>Tabla2[[#This Row],[TOTAL ARS]]/Tabla2[[#This Row],[TC BNA]]</f>
        <v>#DIV/0!</v>
      </c>
      <c r="P303" s="40">
        <f>_xlfn.XLOOKUP(A303,'TC_BNA xlsx'!A:A,'TC_BNA xlsx'!C:C,"No encontrado")</f>
        <v>0</v>
      </c>
      <c r="Q303" s="22"/>
    </row>
    <row r="304" spans="1:17" x14ac:dyDescent="0.25">
      <c r="A304" s="33"/>
      <c r="B304" s="21">
        <f>MONTH(Tabla2[[#This Row],[Fecha]])</f>
        <v>1</v>
      </c>
      <c r="C304" s="22"/>
      <c r="D304" s="41">
        <f>IFERROR(_xlfn.XLOOKUP(Tabla2[[#This Row],[Artículo]],Tabla1[Artículos],Tabla1[Rubro]),"")</f>
        <v>0</v>
      </c>
      <c r="E304" s="33"/>
      <c r="F304" s="34"/>
      <c r="G304" s="33"/>
      <c r="H304" s="35"/>
      <c r="I304" s="36" t="e">
        <f>Tabla2[[#This Row],[Precio Unitario ARS]]/Tabla2[[#This Row],[TC BNA]]</f>
        <v>#DIV/0!</v>
      </c>
      <c r="J304" s="37"/>
      <c r="K304" s="33"/>
      <c r="L304" s="37"/>
      <c r="M304" s="38">
        <f>(Tabla2[[#This Row],[Precio Unitario ARS]]-(Tabla2[[#This Row],[Precio Unitario ARS]]*Tabla2[[#This Row],[DTO]]))*Tabla2[[#This Row],[Cantidad]]</f>
        <v>0</v>
      </c>
      <c r="N304" s="39">
        <f>Tabla2[[#This Row],[Subtotal ARS]]+(Tabla2[[#This Row],[Subtotal ARS]]*Tabla2[[#This Row],[IVA]])</f>
        <v>0</v>
      </c>
      <c r="O304" s="39" t="e">
        <f>Tabla2[[#This Row],[TOTAL ARS]]/Tabla2[[#This Row],[TC BNA]]</f>
        <v>#DIV/0!</v>
      </c>
      <c r="P304" s="40">
        <f>_xlfn.XLOOKUP(A304,'TC_BNA xlsx'!A:A,'TC_BNA xlsx'!C:C,"No encontrado")</f>
        <v>0</v>
      </c>
      <c r="Q304" s="22"/>
    </row>
    <row r="305" spans="1:17" x14ac:dyDescent="0.25">
      <c r="A305" s="33"/>
      <c r="B305" s="21">
        <f>MONTH(Tabla2[[#This Row],[Fecha]])</f>
        <v>1</v>
      </c>
      <c r="C305" s="22"/>
      <c r="D305" s="41">
        <f>IFERROR(_xlfn.XLOOKUP(Tabla2[[#This Row],[Artículo]],Tabla1[Artículos],Tabla1[Rubro]),"")</f>
        <v>0</v>
      </c>
      <c r="E305" s="33"/>
      <c r="F305" s="34"/>
      <c r="G305" s="33"/>
      <c r="H305" s="35"/>
      <c r="I305" s="36" t="e">
        <f>Tabla2[[#This Row],[Precio Unitario ARS]]/Tabla2[[#This Row],[TC BNA]]</f>
        <v>#DIV/0!</v>
      </c>
      <c r="J305" s="37"/>
      <c r="K305" s="33"/>
      <c r="L305" s="37"/>
      <c r="M305" s="38">
        <f>(Tabla2[[#This Row],[Precio Unitario ARS]]-(Tabla2[[#This Row],[Precio Unitario ARS]]*Tabla2[[#This Row],[DTO]]))*Tabla2[[#This Row],[Cantidad]]</f>
        <v>0</v>
      </c>
      <c r="N305" s="39">
        <f>Tabla2[[#This Row],[Subtotal ARS]]+(Tabla2[[#This Row],[Subtotal ARS]]*Tabla2[[#This Row],[IVA]])</f>
        <v>0</v>
      </c>
      <c r="O305" s="39" t="e">
        <f>Tabla2[[#This Row],[TOTAL ARS]]/Tabla2[[#This Row],[TC BNA]]</f>
        <v>#DIV/0!</v>
      </c>
      <c r="P305" s="40">
        <f>_xlfn.XLOOKUP(A305,'TC_BNA xlsx'!A:A,'TC_BNA xlsx'!C:C,"No encontrado")</f>
        <v>0</v>
      </c>
      <c r="Q305" s="22"/>
    </row>
    <row r="306" spans="1:17" x14ac:dyDescent="0.25">
      <c r="A306" s="33"/>
      <c r="B306" s="21">
        <f>MONTH(Tabla2[[#This Row],[Fecha]])</f>
        <v>1</v>
      </c>
      <c r="C306" s="22"/>
      <c r="D306" s="41">
        <f>IFERROR(_xlfn.XLOOKUP(Tabla2[[#This Row],[Artículo]],Tabla1[Artículos],Tabla1[Rubro]),"")</f>
        <v>0</v>
      </c>
      <c r="E306" s="33"/>
      <c r="F306" s="34"/>
      <c r="G306" s="33"/>
      <c r="H306" s="35"/>
      <c r="I306" s="36" t="e">
        <f>Tabla2[[#This Row],[Precio Unitario ARS]]/Tabla2[[#This Row],[TC BNA]]</f>
        <v>#DIV/0!</v>
      </c>
      <c r="J306" s="37"/>
      <c r="K306" s="33"/>
      <c r="L306" s="37"/>
      <c r="M306" s="38">
        <f>(Tabla2[[#This Row],[Precio Unitario ARS]]-(Tabla2[[#This Row],[Precio Unitario ARS]]*Tabla2[[#This Row],[DTO]]))*Tabla2[[#This Row],[Cantidad]]</f>
        <v>0</v>
      </c>
      <c r="N306" s="39">
        <f>Tabla2[[#This Row],[Subtotal ARS]]+(Tabla2[[#This Row],[Subtotal ARS]]*Tabla2[[#This Row],[IVA]])</f>
        <v>0</v>
      </c>
      <c r="O306" s="39" t="e">
        <f>Tabla2[[#This Row],[TOTAL ARS]]/Tabla2[[#This Row],[TC BNA]]</f>
        <v>#DIV/0!</v>
      </c>
      <c r="P306" s="40">
        <f>_xlfn.XLOOKUP(A306,'TC_BNA xlsx'!A:A,'TC_BNA xlsx'!C:C,"No encontrado")</f>
        <v>0</v>
      </c>
      <c r="Q306" s="22"/>
    </row>
    <row r="307" spans="1:17" x14ac:dyDescent="0.25">
      <c r="A307" s="33"/>
      <c r="B307" s="21">
        <f>MONTH(Tabla2[[#This Row],[Fecha]])</f>
        <v>1</v>
      </c>
      <c r="C307" s="22"/>
      <c r="D307" s="41">
        <f>IFERROR(_xlfn.XLOOKUP(Tabla2[[#This Row],[Artículo]],Tabla1[Artículos],Tabla1[Rubro]),"")</f>
        <v>0</v>
      </c>
      <c r="E307" s="33"/>
      <c r="F307" s="34"/>
      <c r="G307" s="33"/>
      <c r="H307" s="35"/>
      <c r="I307" s="36" t="e">
        <f>Tabla2[[#This Row],[Precio Unitario ARS]]/Tabla2[[#This Row],[TC BNA]]</f>
        <v>#DIV/0!</v>
      </c>
      <c r="J307" s="37"/>
      <c r="K307" s="33"/>
      <c r="L307" s="37"/>
      <c r="M307" s="38">
        <f>(Tabla2[[#This Row],[Precio Unitario ARS]]-(Tabla2[[#This Row],[Precio Unitario ARS]]*Tabla2[[#This Row],[DTO]]))*Tabla2[[#This Row],[Cantidad]]</f>
        <v>0</v>
      </c>
      <c r="N307" s="39">
        <f>Tabla2[[#This Row],[Subtotal ARS]]+(Tabla2[[#This Row],[Subtotal ARS]]*Tabla2[[#This Row],[IVA]])</f>
        <v>0</v>
      </c>
      <c r="O307" s="39" t="e">
        <f>Tabla2[[#This Row],[TOTAL ARS]]/Tabla2[[#This Row],[TC BNA]]</f>
        <v>#DIV/0!</v>
      </c>
      <c r="P307" s="40">
        <f>_xlfn.XLOOKUP(A307,'TC_BNA xlsx'!A:A,'TC_BNA xlsx'!C:C,"No encontrado")</f>
        <v>0</v>
      </c>
      <c r="Q307" s="22"/>
    </row>
    <row r="308" spans="1:17" x14ac:dyDescent="0.25">
      <c r="A308" s="33"/>
      <c r="B308" s="21">
        <f>MONTH(Tabla2[[#This Row],[Fecha]])</f>
        <v>1</v>
      </c>
      <c r="C308" s="22"/>
      <c r="D308" s="41">
        <f>IFERROR(_xlfn.XLOOKUP(Tabla2[[#This Row],[Artículo]],Tabla1[Artículos],Tabla1[Rubro]),"")</f>
        <v>0</v>
      </c>
      <c r="E308" s="33"/>
      <c r="F308" s="34"/>
      <c r="G308" s="33"/>
      <c r="H308" s="35"/>
      <c r="I308" s="36" t="e">
        <f>Tabla2[[#This Row],[Precio Unitario ARS]]/Tabla2[[#This Row],[TC BNA]]</f>
        <v>#DIV/0!</v>
      </c>
      <c r="J308" s="37"/>
      <c r="K308" s="33"/>
      <c r="L308" s="37"/>
      <c r="M308" s="38">
        <f>(Tabla2[[#This Row],[Precio Unitario ARS]]-(Tabla2[[#This Row],[Precio Unitario ARS]]*Tabla2[[#This Row],[DTO]]))*Tabla2[[#This Row],[Cantidad]]</f>
        <v>0</v>
      </c>
      <c r="N308" s="39">
        <f>Tabla2[[#This Row],[Subtotal ARS]]+(Tabla2[[#This Row],[Subtotal ARS]]*Tabla2[[#This Row],[IVA]])</f>
        <v>0</v>
      </c>
      <c r="O308" s="39" t="e">
        <f>Tabla2[[#This Row],[TOTAL ARS]]/Tabla2[[#This Row],[TC BNA]]</f>
        <v>#DIV/0!</v>
      </c>
      <c r="P308" s="40">
        <f>_xlfn.XLOOKUP(A308,'TC_BNA xlsx'!A:A,'TC_BNA xlsx'!C:C,"No encontrado")</f>
        <v>0</v>
      </c>
      <c r="Q308" s="22"/>
    </row>
    <row r="309" spans="1:17" x14ac:dyDescent="0.25">
      <c r="A309" s="33"/>
      <c r="B309" s="21">
        <f>MONTH(Tabla2[[#This Row],[Fecha]])</f>
        <v>1</v>
      </c>
      <c r="C309" s="22"/>
      <c r="D309" s="41">
        <f>IFERROR(_xlfn.XLOOKUP(Tabla2[[#This Row],[Artículo]],Tabla1[Artículos],Tabla1[Rubro]),"")</f>
        <v>0</v>
      </c>
      <c r="E309" s="33"/>
      <c r="F309" s="34"/>
      <c r="G309" s="33"/>
      <c r="H309" s="35"/>
      <c r="I309" s="36" t="e">
        <f>Tabla2[[#This Row],[Precio Unitario ARS]]/Tabla2[[#This Row],[TC BNA]]</f>
        <v>#DIV/0!</v>
      </c>
      <c r="J309" s="37"/>
      <c r="K309" s="33"/>
      <c r="L309" s="37"/>
      <c r="M309" s="38">
        <f>(Tabla2[[#This Row],[Precio Unitario ARS]]-(Tabla2[[#This Row],[Precio Unitario ARS]]*Tabla2[[#This Row],[DTO]]))*Tabla2[[#This Row],[Cantidad]]</f>
        <v>0</v>
      </c>
      <c r="N309" s="39">
        <f>Tabla2[[#This Row],[Subtotal ARS]]+(Tabla2[[#This Row],[Subtotal ARS]]*Tabla2[[#This Row],[IVA]])</f>
        <v>0</v>
      </c>
      <c r="O309" s="39" t="e">
        <f>Tabla2[[#This Row],[TOTAL ARS]]/Tabla2[[#This Row],[TC BNA]]</f>
        <v>#DIV/0!</v>
      </c>
      <c r="P309" s="40">
        <f>_xlfn.XLOOKUP(A309,'TC_BNA xlsx'!A:A,'TC_BNA xlsx'!C:C,"No encontrado")</f>
        <v>0</v>
      </c>
      <c r="Q309" s="22"/>
    </row>
    <row r="310" spans="1:17" x14ac:dyDescent="0.25">
      <c r="A310" s="33"/>
      <c r="B310" s="21">
        <f>MONTH(Tabla2[[#This Row],[Fecha]])</f>
        <v>1</v>
      </c>
      <c r="C310" s="22"/>
      <c r="D310" s="41">
        <f>IFERROR(_xlfn.XLOOKUP(Tabla2[[#This Row],[Artículo]],Tabla1[Artículos],Tabla1[Rubro]),"")</f>
        <v>0</v>
      </c>
      <c r="E310" s="33"/>
      <c r="F310" s="34"/>
      <c r="G310" s="33"/>
      <c r="H310" s="35"/>
      <c r="I310" s="36" t="e">
        <f>Tabla2[[#This Row],[Precio Unitario ARS]]/Tabla2[[#This Row],[TC BNA]]</f>
        <v>#DIV/0!</v>
      </c>
      <c r="J310" s="37"/>
      <c r="K310" s="33"/>
      <c r="L310" s="37"/>
      <c r="M310" s="38">
        <f>(Tabla2[[#This Row],[Precio Unitario ARS]]-(Tabla2[[#This Row],[Precio Unitario ARS]]*Tabla2[[#This Row],[DTO]]))*Tabla2[[#This Row],[Cantidad]]</f>
        <v>0</v>
      </c>
      <c r="N310" s="39">
        <f>Tabla2[[#This Row],[Subtotal ARS]]+(Tabla2[[#This Row],[Subtotal ARS]]*Tabla2[[#This Row],[IVA]])</f>
        <v>0</v>
      </c>
      <c r="O310" s="39" t="e">
        <f>Tabla2[[#This Row],[TOTAL ARS]]/Tabla2[[#This Row],[TC BNA]]</f>
        <v>#DIV/0!</v>
      </c>
      <c r="P310" s="40">
        <f>_xlfn.XLOOKUP(A310,'TC_BNA xlsx'!A:A,'TC_BNA xlsx'!C:C,"No encontrado")</f>
        <v>0</v>
      </c>
      <c r="Q310" s="22"/>
    </row>
    <row r="311" spans="1:17" x14ac:dyDescent="0.25">
      <c r="A311" s="33"/>
      <c r="B311" s="21">
        <f>MONTH(Tabla2[[#This Row],[Fecha]])</f>
        <v>1</v>
      </c>
      <c r="C311" s="22"/>
      <c r="D311" s="41">
        <f>IFERROR(_xlfn.XLOOKUP(Tabla2[[#This Row],[Artículo]],Tabla1[Artículos],Tabla1[Rubro]),"")</f>
        <v>0</v>
      </c>
      <c r="E311" s="33"/>
      <c r="F311" s="34"/>
      <c r="G311" s="33"/>
      <c r="H311" s="35"/>
      <c r="I311" s="36" t="e">
        <f>Tabla2[[#This Row],[Precio Unitario ARS]]/Tabla2[[#This Row],[TC BNA]]</f>
        <v>#DIV/0!</v>
      </c>
      <c r="J311" s="37"/>
      <c r="K311" s="33"/>
      <c r="L311" s="37"/>
      <c r="M311" s="38">
        <f>(Tabla2[[#This Row],[Precio Unitario ARS]]-(Tabla2[[#This Row],[Precio Unitario ARS]]*Tabla2[[#This Row],[DTO]]))*Tabla2[[#This Row],[Cantidad]]</f>
        <v>0</v>
      </c>
      <c r="N311" s="39">
        <f>Tabla2[[#This Row],[Subtotal ARS]]+(Tabla2[[#This Row],[Subtotal ARS]]*Tabla2[[#This Row],[IVA]])</f>
        <v>0</v>
      </c>
      <c r="O311" s="39" t="e">
        <f>Tabla2[[#This Row],[TOTAL ARS]]/Tabla2[[#This Row],[TC BNA]]</f>
        <v>#DIV/0!</v>
      </c>
      <c r="P311" s="40">
        <f>_xlfn.XLOOKUP(A311,'TC_BNA xlsx'!A:A,'TC_BNA xlsx'!C:C,"No encontrado")</f>
        <v>0</v>
      </c>
      <c r="Q311" s="22"/>
    </row>
    <row r="312" spans="1:17" x14ac:dyDescent="0.25">
      <c r="A312" s="33"/>
      <c r="B312" s="21">
        <f>MONTH(Tabla2[[#This Row],[Fecha]])</f>
        <v>1</v>
      </c>
      <c r="C312" s="22"/>
      <c r="D312" s="41">
        <f>IFERROR(_xlfn.XLOOKUP(Tabla2[[#This Row],[Artículo]],Tabla1[Artículos],Tabla1[Rubro]),"")</f>
        <v>0</v>
      </c>
      <c r="E312" s="33"/>
      <c r="F312" s="34"/>
      <c r="G312" s="33"/>
      <c r="H312" s="35"/>
      <c r="I312" s="36" t="e">
        <f>Tabla2[[#This Row],[Precio Unitario ARS]]/Tabla2[[#This Row],[TC BNA]]</f>
        <v>#DIV/0!</v>
      </c>
      <c r="J312" s="37"/>
      <c r="K312" s="33"/>
      <c r="L312" s="37"/>
      <c r="M312" s="38">
        <f>(Tabla2[[#This Row],[Precio Unitario ARS]]-(Tabla2[[#This Row],[Precio Unitario ARS]]*Tabla2[[#This Row],[DTO]]))*Tabla2[[#This Row],[Cantidad]]</f>
        <v>0</v>
      </c>
      <c r="N312" s="39">
        <f>Tabla2[[#This Row],[Subtotal ARS]]+(Tabla2[[#This Row],[Subtotal ARS]]*Tabla2[[#This Row],[IVA]])</f>
        <v>0</v>
      </c>
      <c r="O312" s="39" t="e">
        <f>Tabla2[[#This Row],[TOTAL ARS]]/Tabla2[[#This Row],[TC BNA]]</f>
        <v>#DIV/0!</v>
      </c>
      <c r="P312" s="40">
        <f>_xlfn.XLOOKUP(A312,'TC_BNA xlsx'!A:A,'TC_BNA xlsx'!C:C,"No encontrado")</f>
        <v>0</v>
      </c>
      <c r="Q312" s="22"/>
    </row>
    <row r="313" spans="1:17" x14ac:dyDescent="0.25">
      <c r="A313" s="33"/>
      <c r="B313" s="21">
        <f>MONTH(Tabla2[[#This Row],[Fecha]])</f>
        <v>1</v>
      </c>
      <c r="C313" s="22"/>
      <c r="D313" s="41">
        <f>IFERROR(_xlfn.XLOOKUP(Tabla2[[#This Row],[Artículo]],Tabla1[Artículos],Tabla1[Rubro]),"")</f>
        <v>0</v>
      </c>
      <c r="E313" s="33"/>
      <c r="F313" s="34"/>
      <c r="G313" s="33"/>
      <c r="H313" s="35"/>
      <c r="I313" s="36" t="e">
        <f>Tabla2[[#This Row],[Precio Unitario ARS]]/Tabla2[[#This Row],[TC BNA]]</f>
        <v>#DIV/0!</v>
      </c>
      <c r="J313" s="37"/>
      <c r="K313" s="33"/>
      <c r="L313" s="37"/>
      <c r="M313" s="38">
        <f>(Tabla2[[#This Row],[Precio Unitario ARS]]-(Tabla2[[#This Row],[Precio Unitario ARS]]*Tabla2[[#This Row],[DTO]]))*Tabla2[[#This Row],[Cantidad]]</f>
        <v>0</v>
      </c>
      <c r="N313" s="39">
        <f>Tabla2[[#This Row],[Subtotal ARS]]+(Tabla2[[#This Row],[Subtotal ARS]]*Tabla2[[#This Row],[IVA]])</f>
        <v>0</v>
      </c>
      <c r="O313" s="39" t="e">
        <f>Tabla2[[#This Row],[TOTAL ARS]]/Tabla2[[#This Row],[TC BNA]]</f>
        <v>#DIV/0!</v>
      </c>
      <c r="P313" s="40">
        <f>_xlfn.XLOOKUP(A313,'TC_BNA xlsx'!A:A,'TC_BNA xlsx'!C:C,"No encontrado")</f>
        <v>0</v>
      </c>
      <c r="Q313" s="22"/>
    </row>
    <row r="314" spans="1:17" x14ac:dyDescent="0.25">
      <c r="A314" s="33"/>
      <c r="B314" s="21">
        <f>MONTH(Tabla2[[#This Row],[Fecha]])</f>
        <v>1</v>
      </c>
      <c r="C314" s="22"/>
      <c r="D314" s="41">
        <f>IFERROR(_xlfn.XLOOKUP(Tabla2[[#This Row],[Artículo]],Tabla1[Artículos],Tabla1[Rubro]),"")</f>
        <v>0</v>
      </c>
      <c r="E314" s="33"/>
      <c r="F314" s="34"/>
      <c r="G314" s="33"/>
      <c r="H314" s="35"/>
      <c r="I314" s="36" t="e">
        <f>Tabla2[[#This Row],[Precio Unitario ARS]]/Tabla2[[#This Row],[TC BNA]]</f>
        <v>#DIV/0!</v>
      </c>
      <c r="J314" s="37"/>
      <c r="K314" s="33"/>
      <c r="L314" s="37"/>
      <c r="M314" s="38">
        <f>(Tabla2[[#This Row],[Precio Unitario ARS]]-(Tabla2[[#This Row],[Precio Unitario ARS]]*Tabla2[[#This Row],[DTO]]))*Tabla2[[#This Row],[Cantidad]]</f>
        <v>0</v>
      </c>
      <c r="N314" s="39">
        <f>Tabla2[[#This Row],[Subtotal ARS]]+(Tabla2[[#This Row],[Subtotal ARS]]*Tabla2[[#This Row],[IVA]])</f>
        <v>0</v>
      </c>
      <c r="O314" s="39" t="e">
        <f>Tabla2[[#This Row],[TOTAL ARS]]/Tabla2[[#This Row],[TC BNA]]</f>
        <v>#DIV/0!</v>
      </c>
      <c r="P314" s="40">
        <f>_xlfn.XLOOKUP(A314,'TC_BNA xlsx'!A:A,'TC_BNA xlsx'!C:C,"No encontrado")</f>
        <v>0</v>
      </c>
      <c r="Q314" s="22"/>
    </row>
    <row r="315" spans="1:17" x14ac:dyDescent="0.25">
      <c r="A315" s="33"/>
      <c r="B315" s="21">
        <f>MONTH(Tabla2[[#This Row],[Fecha]])</f>
        <v>1</v>
      </c>
      <c r="C315" s="22"/>
      <c r="D315" s="41">
        <f>IFERROR(_xlfn.XLOOKUP(Tabla2[[#This Row],[Artículo]],Tabla1[Artículos],Tabla1[Rubro]),"")</f>
        <v>0</v>
      </c>
      <c r="E315" s="33"/>
      <c r="F315" s="34"/>
      <c r="G315" s="33"/>
      <c r="H315" s="35"/>
      <c r="I315" s="36" t="e">
        <f>Tabla2[[#This Row],[Precio Unitario ARS]]/Tabla2[[#This Row],[TC BNA]]</f>
        <v>#DIV/0!</v>
      </c>
      <c r="J315" s="37"/>
      <c r="K315" s="33"/>
      <c r="L315" s="37"/>
      <c r="M315" s="38">
        <f>(Tabla2[[#This Row],[Precio Unitario ARS]]-(Tabla2[[#This Row],[Precio Unitario ARS]]*Tabla2[[#This Row],[DTO]]))*Tabla2[[#This Row],[Cantidad]]</f>
        <v>0</v>
      </c>
      <c r="N315" s="39">
        <f>Tabla2[[#This Row],[Subtotal ARS]]+(Tabla2[[#This Row],[Subtotal ARS]]*Tabla2[[#This Row],[IVA]])</f>
        <v>0</v>
      </c>
      <c r="O315" s="39" t="e">
        <f>Tabla2[[#This Row],[TOTAL ARS]]/Tabla2[[#This Row],[TC BNA]]</f>
        <v>#DIV/0!</v>
      </c>
      <c r="P315" s="40">
        <f>_xlfn.XLOOKUP(A315,'TC_BNA xlsx'!A:A,'TC_BNA xlsx'!C:C,"No encontrado")</f>
        <v>0</v>
      </c>
      <c r="Q315" s="22"/>
    </row>
    <row r="316" spans="1:17" x14ac:dyDescent="0.25">
      <c r="A316" s="33"/>
      <c r="B316" s="21">
        <f>MONTH(Tabla2[[#This Row],[Fecha]])</f>
        <v>1</v>
      </c>
      <c r="C316" s="22"/>
      <c r="D316" s="41">
        <f>IFERROR(_xlfn.XLOOKUP(Tabla2[[#This Row],[Artículo]],Tabla1[Artículos],Tabla1[Rubro]),"")</f>
        <v>0</v>
      </c>
      <c r="E316" s="33"/>
      <c r="F316" s="34"/>
      <c r="G316" s="33"/>
      <c r="H316" s="35"/>
      <c r="I316" s="36" t="e">
        <f>Tabla2[[#This Row],[Precio Unitario ARS]]/Tabla2[[#This Row],[TC BNA]]</f>
        <v>#DIV/0!</v>
      </c>
      <c r="J316" s="37"/>
      <c r="K316" s="33"/>
      <c r="L316" s="37"/>
      <c r="M316" s="38">
        <f>(Tabla2[[#This Row],[Precio Unitario ARS]]-(Tabla2[[#This Row],[Precio Unitario ARS]]*Tabla2[[#This Row],[DTO]]))*Tabla2[[#This Row],[Cantidad]]</f>
        <v>0</v>
      </c>
      <c r="N316" s="39">
        <f>Tabla2[[#This Row],[Subtotal ARS]]+(Tabla2[[#This Row],[Subtotal ARS]]*Tabla2[[#This Row],[IVA]])</f>
        <v>0</v>
      </c>
      <c r="O316" s="39" t="e">
        <f>Tabla2[[#This Row],[TOTAL ARS]]/Tabla2[[#This Row],[TC BNA]]</f>
        <v>#DIV/0!</v>
      </c>
      <c r="P316" s="40">
        <f>_xlfn.XLOOKUP(A316,'TC_BNA xlsx'!A:A,'TC_BNA xlsx'!C:C,"No encontrado")</f>
        <v>0</v>
      </c>
      <c r="Q316" s="22"/>
    </row>
    <row r="317" spans="1:17" x14ac:dyDescent="0.25">
      <c r="A317" s="33"/>
      <c r="B317" s="21">
        <f>MONTH(Tabla2[[#This Row],[Fecha]])</f>
        <v>1</v>
      </c>
      <c r="C317" s="22"/>
      <c r="D317" s="41">
        <f>IFERROR(_xlfn.XLOOKUP(Tabla2[[#This Row],[Artículo]],Tabla1[Artículos],Tabla1[Rubro]),"")</f>
        <v>0</v>
      </c>
      <c r="E317" s="33"/>
      <c r="F317" s="34"/>
      <c r="G317" s="33"/>
      <c r="H317" s="35"/>
      <c r="I317" s="36" t="e">
        <f>Tabla2[[#This Row],[Precio Unitario ARS]]/Tabla2[[#This Row],[TC BNA]]</f>
        <v>#DIV/0!</v>
      </c>
      <c r="J317" s="37"/>
      <c r="K317" s="33"/>
      <c r="L317" s="37"/>
      <c r="M317" s="38">
        <f>(Tabla2[[#This Row],[Precio Unitario ARS]]-(Tabla2[[#This Row],[Precio Unitario ARS]]*Tabla2[[#This Row],[DTO]]))*Tabla2[[#This Row],[Cantidad]]</f>
        <v>0</v>
      </c>
      <c r="N317" s="39">
        <f>Tabla2[[#This Row],[Subtotal ARS]]+(Tabla2[[#This Row],[Subtotal ARS]]*Tabla2[[#This Row],[IVA]])</f>
        <v>0</v>
      </c>
      <c r="O317" s="39" t="e">
        <f>Tabla2[[#This Row],[TOTAL ARS]]/Tabla2[[#This Row],[TC BNA]]</f>
        <v>#DIV/0!</v>
      </c>
      <c r="P317" s="40">
        <f>_xlfn.XLOOKUP(A317,'TC_BNA xlsx'!A:A,'TC_BNA xlsx'!C:C,"No encontrado")</f>
        <v>0</v>
      </c>
      <c r="Q317" s="22"/>
    </row>
    <row r="318" spans="1:17" x14ac:dyDescent="0.25">
      <c r="A318" s="33"/>
      <c r="B318" s="21">
        <f>MONTH(Tabla2[[#This Row],[Fecha]])</f>
        <v>1</v>
      </c>
      <c r="C318" s="22"/>
      <c r="D318" s="41">
        <f>IFERROR(_xlfn.XLOOKUP(Tabla2[[#This Row],[Artículo]],Tabla1[Artículos],Tabla1[Rubro]),"")</f>
        <v>0</v>
      </c>
      <c r="E318" s="33"/>
      <c r="F318" s="34"/>
      <c r="G318" s="33"/>
      <c r="H318" s="35"/>
      <c r="I318" s="36" t="e">
        <f>Tabla2[[#This Row],[Precio Unitario ARS]]/Tabla2[[#This Row],[TC BNA]]</f>
        <v>#DIV/0!</v>
      </c>
      <c r="J318" s="37"/>
      <c r="K318" s="33"/>
      <c r="L318" s="37"/>
      <c r="M318" s="38">
        <f>(Tabla2[[#This Row],[Precio Unitario ARS]]-(Tabla2[[#This Row],[Precio Unitario ARS]]*Tabla2[[#This Row],[DTO]]))*Tabla2[[#This Row],[Cantidad]]</f>
        <v>0</v>
      </c>
      <c r="N318" s="39">
        <f>Tabla2[[#This Row],[Subtotal ARS]]+(Tabla2[[#This Row],[Subtotal ARS]]*Tabla2[[#This Row],[IVA]])</f>
        <v>0</v>
      </c>
      <c r="O318" s="39" t="e">
        <f>Tabla2[[#This Row],[TOTAL ARS]]/Tabla2[[#This Row],[TC BNA]]</f>
        <v>#DIV/0!</v>
      </c>
      <c r="P318" s="40">
        <f>_xlfn.XLOOKUP(A318,'TC_BNA xlsx'!A:A,'TC_BNA xlsx'!C:C,"No encontrado")</f>
        <v>0</v>
      </c>
      <c r="Q318" s="22"/>
    </row>
    <row r="319" spans="1:17" x14ac:dyDescent="0.25">
      <c r="A319" s="33"/>
      <c r="B319" s="21">
        <f>MONTH(Tabla2[[#This Row],[Fecha]])</f>
        <v>1</v>
      </c>
      <c r="C319" s="22"/>
      <c r="D319" s="41">
        <f>IFERROR(_xlfn.XLOOKUP(Tabla2[[#This Row],[Artículo]],Tabla1[Artículos],Tabla1[Rubro]),"")</f>
        <v>0</v>
      </c>
      <c r="E319" s="33"/>
      <c r="F319" s="34"/>
      <c r="G319" s="33"/>
      <c r="H319" s="35"/>
      <c r="I319" s="36" t="e">
        <f>Tabla2[[#This Row],[Precio Unitario ARS]]/Tabla2[[#This Row],[TC BNA]]</f>
        <v>#DIV/0!</v>
      </c>
      <c r="J319" s="37"/>
      <c r="K319" s="33"/>
      <c r="L319" s="37"/>
      <c r="M319" s="38">
        <f>(Tabla2[[#This Row],[Precio Unitario ARS]]-(Tabla2[[#This Row],[Precio Unitario ARS]]*Tabla2[[#This Row],[DTO]]))*Tabla2[[#This Row],[Cantidad]]</f>
        <v>0</v>
      </c>
      <c r="N319" s="39">
        <f>Tabla2[[#This Row],[Subtotal ARS]]+(Tabla2[[#This Row],[Subtotal ARS]]*Tabla2[[#This Row],[IVA]])</f>
        <v>0</v>
      </c>
      <c r="O319" s="39" t="e">
        <f>Tabla2[[#This Row],[TOTAL ARS]]/Tabla2[[#This Row],[TC BNA]]</f>
        <v>#DIV/0!</v>
      </c>
      <c r="P319" s="40">
        <f>_xlfn.XLOOKUP(A319,'TC_BNA xlsx'!A:A,'TC_BNA xlsx'!C:C,"No encontrado")</f>
        <v>0</v>
      </c>
      <c r="Q319" s="22"/>
    </row>
    <row r="320" spans="1:17" x14ac:dyDescent="0.25">
      <c r="A320" s="33"/>
      <c r="B320" s="21">
        <f>MONTH(Tabla2[[#This Row],[Fecha]])</f>
        <v>1</v>
      </c>
      <c r="C320" s="22"/>
      <c r="D320" s="41">
        <f>IFERROR(_xlfn.XLOOKUP(Tabla2[[#This Row],[Artículo]],Tabla1[Artículos],Tabla1[Rubro]),"")</f>
        <v>0</v>
      </c>
      <c r="E320" s="33"/>
      <c r="F320" s="34"/>
      <c r="G320" s="33"/>
      <c r="H320" s="35"/>
      <c r="I320" s="36" t="e">
        <f>Tabla2[[#This Row],[Precio Unitario ARS]]/Tabla2[[#This Row],[TC BNA]]</f>
        <v>#DIV/0!</v>
      </c>
      <c r="J320" s="37"/>
      <c r="K320" s="33"/>
      <c r="L320" s="37"/>
      <c r="M320" s="38">
        <f>(Tabla2[[#This Row],[Precio Unitario ARS]]-(Tabla2[[#This Row],[Precio Unitario ARS]]*Tabla2[[#This Row],[DTO]]))*Tabla2[[#This Row],[Cantidad]]</f>
        <v>0</v>
      </c>
      <c r="N320" s="39">
        <f>Tabla2[[#This Row],[Subtotal ARS]]+(Tabla2[[#This Row],[Subtotal ARS]]*Tabla2[[#This Row],[IVA]])</f>
        <v>0</v>
      </c>
      <c r="O320" s="39" t="e">
        <f>Tabla2[[#This Row],[TOTAL ARS]]/Tabla2[[#This Row],[TC BNA]]</f>
        <v>#DIV/0!</v>
      </c>
      <c r="P320" s="40">
        <f>_xlfn.XLOOKUP(A320,'TC_BNA xlsx'!A:A,'TC_BNA xlsx'!C:C,"No encontrado")</f>
        <v>0</v>
      </c>
      <c r="Q320" s="22"/>
    </row>
    <row r="321" spans="1:17" x14ac:dyDescent="0.25">
      <c r="A321" s="33"/>
      <c r="B321" s="21">
        <f>MONTH(Tabla2[[#This Row],[Fecha]])</f>
        <v>1</v>
      </c>
      <c r="C321" s="22"/>
      <c r="D321" s="41">
        <f>IFERROR(_xlfn.XLOOKUP(Tabla2[[#This Row],[Artículo]],Tabla1[Artículos],Tabla1[Rubro]),"")</f>
        <v>0</v>
      </c>
      <c r="E321" s="33"/>
      <c r="F321" s="34"/>
      <c r="G321" s="33"/>
      <c r="H321" s="35"/>
      <c r="I321" s="36" t="e">
        <f>Tabla2[[#This Row],[Precio Unitario ARS]]/Tabla2[[#This Row],[TC BNA]]</f>
        <v>#DIV/0!</v>
      </c>
      <c r="J321" s="37"/>
      <c r="K321" s="33"/>
      <c r="L321" s="37"/>
      <c r="M321" s="38">
        <f>(Tabla2[[#This Row],[Precio Unitario ARS]]-(Tabla2[[#This Row],[Precio Unitario ARS]]*Tabla2[[#This Row],[DTO]]))*Tabla2[[#This Row],[Cantidad]]</f>
        <v>0</v>
      </c>
      <c r="N321" s="39">
        <f>Tabla2[[#This Row],[Subtotal ARS]]+(Tabla2[[#This Row],[Subtotal ARS]]*Tabla2[[#This Row],[IVA]])</f>
        <v>0</v>
      </c>
      <c r="O321" s="39" t="e">
        <f>Tabla2[[#This Row],[TOTAL ARS]]/Tabla2[[#This Row],[TC BNA]]</f>
        <v>#DIV/0!</v>
      </c>
      <c r="P321" s="40">
        <f>_xlfn.XLOOKUP(A321,'TC_BNA xlsx'!A:A,'TC_BNA xlsx'!C:C,"No encontrado")</f>
        <v>0</v>
      </c>
      <c r="Q321" s="22"/>
    </row>
    <row r="322" spans="1:17" x14ac:dyDescent="0.25">
      <c r="A322" s="33"/>
      <c r="B322" s="21">
        <f>MONTH(Tabla2[[#This Row],[Fecha]])</f>
        <v>1</v>
      </c>
      <c r="C322" s="22"/>
      <c r="D322" s="41">
        <f>IFERROR(_xlfn.XLOOKUP(Tabla2[[#This Row],[Artículo]],Tabla1[Artículos],Tabla1[Rubro]),"")</f>
        <v>0</v>
      </c>
      <c r="E322" s="33"/>
      <c r="F322" s="34"/>
      <c r="G322" s="33"/>
      <c r="H322" s="35"/>
      <c r="I322" s="36" t="e">
        <f>Tabla2[[#This Row],[Precio Unitario ARS]]/Tabla2[[#This Row],[TC BNA]]</f>
        <v>#DIV/0!</v>
      </c>
      <c r="J322" s="37"/>
      <c r="K322" s="33"/>
      <c r="L322" s="37"/>
      <c r="M322" s="38">
        <f>(Tabla2[[#This Row],[Precio Unitario ARS]]-(Tabla2[[#This Row],[Precio Unitario ARS]]*Tabla2[[#This Row],[DTO]]))*Tabla2[[#This Row],[Cantidad]]</f>
        <v>0</v>
      </c>
      <c r="N322" s="39">
        <f>Tabla2[[#This Row],[Subtotal ARS]]+(Tabla2[[#This Row],[Subtotal ARS]]*Tabla2[[#This Row],[IVA]])</f>
        <v>0</v>
      </c>
      <c r="O322" s="39" t="e">
        <f>Tabla2[[#This Row],[TOTAL ARS]]/Tabla2[[#This Row],[TC BNA]]</f>
        <v>#DIV/0!</v>
      </c>
      <c r="P322" s="40">
        <f>_xlfn.XLOOKUP(A322,'TC_BNA xlsx'!A:A,'TC_BNA xlsx'!C:C,"No encontrado")</f>
        <v>0</v>
      </c>
      <c r="Q322" s="22"/>
    </row>
    <row r="323" spans="1:17" x14ac:dyDescent="0.25">
      <c r="A323" s="33"/>
      <c r="B323" s="21">
        <f>MONTH(Tabla2[[#This Row],[Fecha]])</f>
        <v>1</v>
      </c>
      <c r="C323" s="22"/>
      <c r="D323" s="41">
        <f>IFERROR(_xlfn.XLOOKUP(Tabla2[[#This Row],[Artículo]],Tabla1[Artículos],Tabla1[Rubro]),"")</f>
        <v>0</v>
      </c>
      <c r="E323" s="33"/>
      <c r="F323" s="34"/>
      <c r="G323" s="33"/>
      <c r="H323" s="35"/>
      <c r="I323" s="36" t="e">
        <f>Tabla2[[#This Row],[Precio Unitario ARS]]/Tabla2[[#This Row],[TC BNA]]</f>
        <v>#DIV/0!</v>
      </c>
      <c r="J323" s="37"/>
      <c r="K323" s="33"/>
      <c r="L323" s="37"/>
      <c r="M323" s="38">
        <f>(Tabla2[[#This Row],[Precio Unitario ARS]]-(Tabla2[[#This Row],[Precio Unitario ARS]]*Tabla2[[#This Row],[DTO]]))*Tabla2[[#This Row],[Cantidad]]</f>
        <v>0</v>
      </c>
      <c r="N323" s="39">
        <f>Tabla2[[#This Row],[Subtotal ARS]]+(Tabla2[[#This Row],[Subtotal ARS]]*Tabla2[[#This Row],[IVA]])</f>
        <v>0</v>
      </c>
      <c r="O323" s="39" t="e">
        <f>Tabla2[[#This Row],[TOTAL ARS]]/Tabla2[[#This Row],[TC BNA]]</f>
        <v>#DIV/0!</v>
      </c>
      <c r="P323" s="40">
        <f>_xlfn.XLOOKUP(A323,'TC_BNA xlsx'!A:A,'TC_BNA xlsx'!C:C,"No encontrado")</f>
        <v>0</v>
      </c>
      <c r="Q323" s="22"/>
    </row>
    <row r="324" spans="1:17" x14ac:dyDescent="0.25">
      <c r="A324" s="33"/>
      <c r="B324" s="21">
        <f>MONTH(Tabla2[[#This Row],[Fecha]])</f>
        <v>1</v>
      </c>
      <c r="C324" s="22"/>
      <c r="D324" s="41">
        <f>IFERROR(_xlfn.XLOOKUP(Tabla2[[#This Row],[Artículo]],Tabla1[Artículos],Tabla1[Rubro]),"")</f>
        <v>0</v>
      </c>
      <c r="E324" s="33"/>
      <c r="F324" s="34"/>
      <c r="G324" s="33"/>
      <c r="H324" s="35"/>
      <c r="I324" s="36" t="e">
        <f>Tabla2[[#This Row],[Precio Unitario ARS]]/Tabla2[[#This Row],[TC BNA]]</f>
        <v>#DIV/0!</v>
      </c>
      <c r="J324" s="37"/>
      <c r="K324" s="33"/>
      <c r="L324" s="37"/>
      <c r="M324" s="38">
        <f>(Tabla2[[#This Row],[Precio Unitario ARS]]-(Tabla2[[#This Row],[Precio Unitario ARS]]*Tabla2[[#This Row],[DTO]]))*Tabla2[[#This Row],[Cantidad]]</f>
        <v>0</v>
      </c>
      <c r="N324" s="39">
        <f>Tabla2[[#This Row],[Subtotal ARS]]+(Tabla2[[#This Row],[Subtotal ARS]]*Tabla2[[#This Row],[IVA]])</f>
        <v>0</v>
      </c>
      <c r="O324" s="39" t="e">
        <f>Tabla2[[#This Row],[TOTAL ARS]]/Tabla2[[#This Row],[TC BNA]]</f>
        <v>#DIV/0!</v>
      </c>
      <c r="P324" s="40">
        <f>_xlfn.XLOOKUP(A324,'TC_BNA xlsx'!A:A,'TC_BNA xlsx'!C:C,"No encontrado")</f>
        <v>0</v>
      </c>
      <c r="Q324" s="22"/>
    </row>
    <row r="325" spans="1:17" x14ac:dyDescent="0.25">
      <c r="A325" s="33"/>
      <c r="B325" s="21">
        <f>MONTH(Tabla2[[#This Row],[Fecha]])</f>
        <v>1</v>
      </c>
      <c r="C325" s="22"/>
      <c r="D325" s="41">
        <f>IFERROR(_xlfn.XLOOKUP(Tabla2[[#This Row],[Artículo]],Tabla1[Artículos],Tabla1[Rubro]),"")</f>
        <v>0</v>
      </c>
      <c r="E325" s="33"/>
      <c r="F325" s="34"/>
      <c r="G325" s="33"/>
      <c r="H325" s="35"/>
      <c r="I325" s="36" t="e">
        <f>Tabla2[[#This Row],[Precio Unitario ARS]]/Tabla2[[#This Row],[TC BNA]]</f>
        <v>#DIV/0!</v>
      </c>
      <c r="J325" s="37"/>
      <c r="K325" s="33"/>
      <c r="L325" s="37"/>
      <c r="M325" s="38">
        <f>(Tabla2[[#This Row],[Precio Unitario ARS]]-(Tabla2[[#This Row],[Precio Unitario ARS]]*Tabla2[[#This Row],[DTO]]))*Tabla2[[#This Row],[Cantidad]]</f>
        <v>0</v>
      </c>
      <c r="N325" s="39">
        <f>Tabla2[[#This Row],[Subtotal ARS]]+(Tabla2[[#This Row],[Subtotal ARS]]*Tabla2[[#This Row],[IVA]])</f>
        <v>0</v>
      </c>
      <c r="O325" s="39" t="e">
        <f>Tabla2[[#This Row],[TOTAL ARS]]/Tabla2[[#This Row],[TC BNA]]</f>
        <v>#DIV/0!</v>
      </c>
      <c r="P325" s="40">
        <f>_xlfn.XLOOKUP(A325,'TC_BNA xlsx'!A:A,'TC_BNA xlsx'!C:C,"No encontrado")</f>
        <v>0</v>
      </c>
      <c r="Q325" s="22"/>
    </row>
    <row r="326" spans="1:17" x14ac:dyDescent="0.25">
      <c r="A326" s="33"/>
      <c r="B326" s="21">
        <f>MONTH(Tabla2[[#This Row],[Fecha]])</f>
        <v>1</v>
      </c>
      <c r="C326" s="22"/>
      <c r="D326" s="41">
        <f>IFERROR(_xlfn.XLOOKUP(Tabla2[[#This Row],[Artículo]],Tabla1[Artículos],Tabla1[Rubro]),"")</f>
        <v>0</v>
      </c>
      <c r="E326" s="33"/>
      <c r="F326" s="34"/>
      <c r="G326" s="33"/>
      <c r="H326" s="35"/>
      <c r="I326" s="36" t="e">
        <f>Tabla2[[#This Row],[Precio Unitario ARS]]/Tabla2[[#This Row],[TC BNA]]</f>
        <v>#DIV/0!</v>
      </c>
      <c r="J326" s="37"/>
      <c r="K326" s="33"/>
      <c r="L326" s="37"/>
      <c r="M326" s="38">
        <f>(Tabla2[[#This Row],[Precio Unitario ARS]]-(Tabla2[[#This Row],[Precio Unitario ARS]]*Tabla2[[#This Row],[DTO]]))*Tabla2[[#This Row],[Cantidad]]</f>
        <v>0</v>
      </c>
      <c r="N326" s="39">
        <f>Tabla2[[#This Row],[Subtotal ARS]]+(Tabla2[[#This Row],[Subtotal ARS]]*Tabla2[[#This Row],[IVA]])</f>
        <v>0</v>
      </c>
      <c r="O326" s="39" t="e">
        <f>Tabla2[[#This Row],[TOTAL ARS]]/Tabla2[[#This Row],[TC BNA]]</f>
        <v>#DIV/0!</v>
      </c>
      <c r="P326" s="40">
        <f>_xlfn.XLOOKUP(A326,'TC_BNA xlsx'!A:A,'TC_BNA xlsx'!C:C,"No encontrado")</f>
        <v>0</v>
      </c>
      <c r="Q326" s="22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0D2537B-5CD8-49BA-B363-1510E5F669A4}">
          <x14:formula1>
            <xm:f>Hoja1!$G$2:$G$3</xm:f>
          </x14:formula1>
          <xm:sqref>K60:K70 K2:K52</xm:sqref>
        </x14:dataValidation>
        <x14:dataValidation type="list" allowBlank="1" showInputMessage="1" showErrorMessage="1" xr:uid="{8E82F7C8-1304-45D8-8BE0-9CDD8654C692}">
          <x14:formula1>
            <xm:f>Hoja1!$H$2:$H$7</xm:f>
          </x14:formula1>
          <xm:sqref>G2</xm:sqref>
        </x14:dataValidation>
        <x14:dataValidation type="list" allowBlank="1" showInputMessage="1" showErrorMessage="1" xr:uid="{0E99E932-C880-4ADB-B3B9-C3486532C7A0}">
          <x14:formula1>
            <xm:f>Hoja1!$C$2:$C$436</xm:f>
          </x14:formula1>
          <xm:sqref>C2:C259 C265:C326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82DCF-4784-4CF2-909A-52AAC3C98951}">
  <dimension ref="A1:Q161"/>
  <sheetViews>
    <sheetView topLeftCell="A4" zoomScale="85" zoomScaleNormal="85" workbookViewId="0">
      <selection activeCell="B35" sqref="B35"/>
    </sheetView>
  </sheetViews>
  <sheetFormatPr baseColWidth="10" defaultRowHeight="15" x14ac:dyDescent="0.25"/>
  <cols>
    <col min="1" max="1" width="12.28515625" style="3" customWidth="1"/>
    <col min="2" max="2" width="24.85546875" style="3" bestFit="1" customWidth="1"/>
    <col min="3" max="4" width="12.28515625" style="3" customWidth="1"/>
    <col min="5" max="5" width="17.42578125" style="3" bestFit="1" customWidth="1"/>
    <col min="6" max="6" width="12.28515625" style="3" customWidth="1"/>
    <col min="7" max="7" width="20.85546875" style="3" bestFit="1" customWidth="1"/>
    <col min="8" max="8" width="16.7109375" style="3" bestFit="1" customWidth="1"/>
    <col min="9" max="9" width="19.85546875" style="3" bestFit="1" customWidth="1"/>
    <col min="10" max="10" width="12.28515625" style="3" customWidth="1"/>
    <col min="11" max="12" width="15.42578125" style="3" customWidth="1"/>
    <col min="13" max="13" width="15.5703125" style="3" bestFit="1" customWidth="1"/>
    <col min="14" max="14" width="45.7109375" style="3" bestFit="1" customWidth="1"/>
    <col min="15" max="15" width="11.42578125" style="3"/>
    <col min="16" max="16" width="23.42578125" style="3" bestFit="1" customWidth="1"/>
    <col min="17" max="16384" width="11.42578125" style="3"/>
  </cols>
  <sheetData>
    <row r="1" spans="1:17" s="1" customFormat="1" ht="30" x14ac:dyDescent="0.25">
      <c r="A1" s="16" t="s">
        <v>0</v>
      </c>
      <c r="B1" s="16" t="s">
        <v>1</v>
      </c>
      <c r="C1" s="16" t="s">
        <v>3</v>
      </c>
      <c r="D1" s="16" t="s">
        <v>4</v>
      </c>
      <c r="E1" s="16" t="s">
        <v>20</v>
      </c>
      <c r="F1" s="16" t="s">
        <v>242</v>
      </c>
      <c r="G1" s="16" t="s">
        <v>245</v>
      </c>
      <c r="H1" s="16" t="s">
        <v>250</v>
      </c>
      <c r="I1" s="16" t="s">
        <v>251</v>
      </c>
      <c r="J1" s="17" t="s">
        <v>328</v>
      </c>
      <c r="K1" s="17" t="s">
        <v>244</v>
      </c>
      <c r="L1" s="17" t="s">
        <v>243</v>
      </c>
      <c r="M1" s="16" t="s">
        <v>21</v>
      </c>
      <c r="N1" s="16" t="s">
        <v>12</v>
      </c>
    </row>
    <row r="2" spans="1:17" x14ac:dyDescent="0.25">
      <c r="A2" s="14">
        <v>46222</v>
      </c>
      <c r="B2" s="3" t="s">
        <v>246</v>
      </c>
      <c r="C2" s="3">
        <v>2</v>
      </c>
      <c r="D2" s="3" t="s">
        <v>25</v>
      </c>
      <c r="E2" s="12">
        <v>59000</v>
      </c>
      <c r="F2" s="12">
        <f>IF(Tabla4[[#This Row],[Artículo]]="","",IFERROR(_xlfn.XLOOKUP(Tabla4[[#This Row],[Artículo]],Tabla2[Artículo],Tabla2[Precio Unitario ARS],"",0,-1),""))</f>
        <v>59000</v>
      </c>
      <c r="G2" s="12" t="str">
        <f>IF(Tabla4[[#This Row],[Artículo]]="","",IFERROR(_xlfn.XLOOKUP(Tabla4[[#This Row],[Artículo]],Tabla2[Artículo],Tabla2[Proveedor],"",0,-1),""))</f>
        <v>Aníbal Roncoroni</v>
      </c>
      <c r="H2" s="12" cm="1">
        <f t="array" ref="H2">IF(Tabla4[[#This Row],[Artículo]]="","",IFERROR(MIN(_xlfn._xlws.FILTER(Tabla2[Precio Unitario ARS],Tabla2[Artículo]=Tabla4[[#This Row],[Artículo]])),""))</f>
        <v>49509.2</v>
      </c>
      <c r="I2" s="12" t="str" cm="1">
        <f t="array" ref="I2">IF(Tabla4[[#This Row],[Artículo]]="","",IFERROR(_xlfn.XLOOKUP(1,(Tabla2[Artículo]=Tabla4[[#This Row],[Artículo]])*(Tabla2[Precio Unitario ARS]=Tabla4[[#This Row],[Mejor Precio]]),Tabla2[Proveedor]),""))</f>
        <v>Tech Safe</v>
      </c>
      <c r="J2" s="11">
        <f>IF(Tabla4[[#This Row],[Artículo]]="","",IFERROR((Tabla4[[#This Row],[Precio Cotizado]]-Tabla4[[#This Row],[Últ. Precio]])/Tabla4[[#This Row],[Últ. Precio]],""))</f>
        <v>0</v>
      </c>
      <c r="K2" s="12">
        <f>IF(Tabla4[[#This Row],[Artículo]]="","",IFERROR(Tabla4[[#This Row],[Precio Cotizado]]-Tabla4[[#This Row],[Mejor Precio]],""))</f>
        <v>9490.8000000000029</v>
      </c>
      <c r="L2" s="13">
        <f>IF(Tabla4[[#This Row],[Artículo]]="","",IFERROR(Tabla4[[#This Row],[Dif por Unidad]]*Tabla4[[#This Row],[Cantidad]],""))</f>
        <v>18981.600000000006</v>
      </c>
      <c r="M2" s="3" t="str">
        <f t="shared" ref="M2:M33" si="0">IF(B2="","",IF(J2&lt;0,"Más barato",IF(J2&lt;=5%,"Dentro del rango",IF(J2&lt;=15%,"Revisar","Precio alto"))))</f>
        <v>Dentro del rango</v>
      </c>
      <c r="N2" s="3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>✓ Precio dentro del rango habitual.</v>
      </c>
    </row>
    <row r="3" spans="1:17" x14ac:dyDescent="0.25">
      <c r="A3" s="14">
        <v>46227</v>
      </c>
      <c r="B3" s="3" t="s">
        <v>152</v>
      </c>
      <c r="C3" s="3">
        <v>2000</v>
      </c>
      <c r="D3" s="3" t="s">
        <v>25</v>
      </c>
      <c r="E3" s="12">
        <v>472.5</v>
      </c>
      <c r="F3" s="12">
        <f>IF(Tabla4[[#This Row],[Artículo]]="","",IFERROR(_xlfn.XLOOKUP(Tabla4[[#This Row],[Artículo]],Tabla2[Artículo],Tabla2[Precio Unitario ARS],"",0,-1),""))</f>
        <v>463.05</v>
      </c>
      <c r="G3" s="12" t="str">
        <f>IF(Tabla4[[#This Row],[Artículo]]="","",IFERROR(_xlfn.XLOOKUP(Tabla4[[#This Row],[Artículo]],Tabla2[Artículo],Tabla2[Proveedor],"",0,-1),""))</f>
        <v>Dusvar</v>
      </c>
      <c r="H3" s="12" cm="1">
        <f t="array" ref="H3">IF(Tabla4[[#This Row],[Artículo]]="","",IFERROR(MIN(_xlfn._xlws.FILTER(Tabla2[Precio Unitario ARS],Tabla2[Artículo]=Tabla4[[#This Row],[Artículo]])),""))</f>
        <v>450</v>
      </c>
      <c r="I3" s="12" t="str" cm="1">
        <f t="array" ref="I3">IF(Tabla4[[#This Row],[Artículo]]="","",IFERROR(_xlfn.XLOOKUP(1,(Tabla2[Artículo]=Tabla4[[#This Row],[Artículo]])*(Tabla2[Precio Unitario ARS]=Tabla4[[#This Row],[Mejor Precio]]),Tabla2[Proveedor]),""))</f>
        <v>Dusvar</v>
      </c>
      <c r="J3" s="11">
        <f>IF(Tabla4[[#This Row],[Artículo]]="","",IFERROR((Tabla4[[#This Row],[Precio Cotizado]]-Tabla4[[#This Row],[Últ. Precio]])/Tabla4[[#This Row],[Últ. Precio]],""))</f>
        <v>2.0408163265306097E-2</v>
      </c>
      <c r="K3" s="12">
        <f>IF(Tabla4[[#This Row],[Artículo]]="","",IFERROR(Tabla4[[#This Row],[Precio Cotizado]]-Tabla4[[#This Row],[Mejor Precio]],""))</f>
        <v>22.5</v>
      </c>
      <c r="L3" s="13">
        <f>IF(Tabla4[[#This Row],[Artículo]]="","",IFERROR(Tabla4[[#This Row],[Dif por Unidad]]*Tabla4[[#This Row],[Cantidad]],""))</f>
        <v>45000</v>
      </c>
      <c r="M3" s="3" t="str">
        <f t="shared" si="0"/>
        <v>Dentro del rango</v>
      </c>
      <c r="N3" s="3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>✓ Precio dentro del rango habitual.</v>
      </c>
      <c r="P3"/>
      <c r="Q3"/>
    </row>
    <row r="4" spans="1:17" x14ac:dyDescent="0.25">
      <c r="A4" s="14">
        <v>46227</v>
      </c>
      <c r="B4" s="3" t="s">
        <v>153</v>
      </c>
      <c r="C4" s="3">
        <v>700</v>
      </c>
      <c r="D4" s="3" t="s">
        <v>25</v>
      </c>
      <c r="E4" s="12">
        <v>1026.95</v>
      </c>
      <c r="F4" s="12">
        <f>IF(Tabla4[[#This Row],[Artículo]]="","",IFERROR(_xlfn.XLOOKUP(Tabla4[[#This Row],[Artículo]],Tabla2[Artículo],Tabla2[Precio Unitario ARS],"",0,-1),""))</f>
        <v>1026</v>
      </c>
      <c r="G4" s="12" t="str">
        <f>IF(Tabla4[[#This Row],[Artículo]]="","",IFERROR(_xlfn.XLOOKUP(Tabla4[[#This Row],[Artículo]],Tabla2[Artículo],Tabla2[Proveedor],"",0,-1),""))</f>
        <v>Dusvar</v>
      </c>
      <c r="H4" s="12" cm="1">
        <f t="array" ref="H4">IF(Tabla4[[#This Row],[Artículo]]="","",IFERROR(MIN(_xlfn._xlws.FILTER(Tabla2[Precio Unitario ARS],Tabla2[Artículo]=Tabla4[[#This Row],[Artículo]])),""))</f>
        <v>998</v>
      </c>
      <c r="I4" s="12" t="str" cm="1">
        <f t="array" ref="I4">IF(Tabla4[[#This Row],[Artículo]]="","",IFERROR(_xlfn.XLOOKUP(1,(Tabla2[Artículo]=Tabla4[[#This Row],[Artículo]])*(Tabla2[Precio Unitario ARS]=Tabla4[[#This Row],[Mejor Precio]]),Tabla2[Proveedor]),""))</f>
        <v>Dusvar</v>
      </c>
      <c r="J4" s="11">
        <f>IF(Tabla4[[#This Row],[Artículo]]="","",IFERROR((Tabla4[[#This Row],[Precio Cotizado]]-Tabla4[[#This Row],[Últ. Precio]])/Tabla4[[#This Row],[Últ. Precio]],""))</f>
        <v>9.259259259259702E-4</v>
      </c>
      <c r="K4" s="12">
        <f>IF(Tabla4[[#This Row],[Artículo]]="","",IFERROR(Tabla4[[#This Row],[Precio Cotizado]]-Tabla4[[#This Row],[Mejor Precio]],""))</f>
        <v>28.950000000000045</v>
      </c>
      <c r="L4" s="13">
        <f>IF(Tabla4[[#This Row],[Artículo]]="","",IFERROR(Tabla4[[#This Row],[Dif por Unidad]]*Tabla4[[#This Row],[Cantidad]],""))</f>
        <v>20265.000000000033</v>
      </c>
      <c r="M4" s="3" t="str">
        <f t="shared" si="0"/>
        <v>Dentro del rango</v>
      </c>
      <c r="N4" s="3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>✓ Precio dentro del rango habitual.</v>
      </c>
      <c r="P4"/>
      <c r="Q4"/>
    </row>
    <row r="5" spans="1:17" x14ac:dyDescent="0.25">
      <c r="A5" s="14">
        <v>46227</v>
      </c>
      <c r="B5" s="3" t="s">
        <v>154</v>
      </c>
      <c r="C5" s="3">
        <v>1000</v>
      </c>
      <c r="D5" s="3" t="s">
        <v>25</v>
      </c>
      <c r="E5" s="12">
        <v>730.26</v>
      </c>
      <c r="F5" s="12">
        <f>IF(Tabla4[[#This Row],[Artículo]]="","",IFERROR(_xlfn.XLOOKUP(Tabla4[[#This Row],[Artículo]],Tabla2[Artículo],Tabla2[Precio Unitario ARS],"",0,-1),""))</f>
        <v>730.26</v>
      </c>
      <c r="G5" s="12" t="str">
        <f>IF(Tabla4[[#This Row],[Artículo]]="","",IFERROR(_xlfn.XLOOKUP(Tabla4[[#This Row],[Artículo]],Tabla2[Artículo],Tabla2[Proveedor],"",0,-1),""))</f>
        <v>Dusvar</v>
      </c>
      <c r="H5" s="12" cm="1">
        <f t="array" ref="H5">IF(Tabla4[[#This Row],[Artículo]]="","",IFERROR(MIN(_xlfn._xlws.FILTER(Tabla2[Precio Unitario ARS],Tabla2[Artículo]=Tabla4[[#This Row],[Artículo]])),""))</f>
        <v>717</v>
      </c>
      <c r="I5" s="12" t="str" cm="1">
        <f t="array" ref="I5">IF(Tabla4[[#This Row],[Artículo]]="","",IFERROR(_xlfn.XLOOKUP(1,(Tabla2[Artículo]=Tabla4[[#This Row],[Artículo]])*(Tabla2[Precio Unitario ARS]=Tabla4[[#This Row],[Mejor Precio]]),Tabla2[Proveedor]),""))</f>
        <v>Dusvar</v>
      </c>
      <c r="J5" s="11">
        <f>IF(Tabla4[[#This Row],[Artículo]]="","",IFERROR((Tabla4[[#This Row],[Precio Cotizado]]-Tabla4[[#This Row],[Últ. Precio]])/Tabla4[[#This Row],[Últ. Precio]],""))</f>
        <v>0</v>
      </c>
      <c r="K5" s="12">
        <f>IF(Tabla4[[#This Row],[Artículo]]="","",IFERROR(Tabla4[[#This Row],[Precio Cotizado]]-Tabla4[[#This Row],[Mejor Precio]],""))</f>
        <v>13.259999999999991</v>
      </c>
      <c r="L5" s="13">
        <f>IF(Tabla4[[#This Row],[Artículo]]="","",IFERROR(Tabla4[[#This Row],[Dif por Unidad]]*Tabla4[[#This Row],[Cantidad]],""))</f>
        <v>13259.999999999991</v>
      </c>
      <c r="M5" s="3" t="str">
        <f t="shared" si="0"/>
        <v>Dentro del rango</v>
      </c>
      <c r="N5" s="3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>✓ Precio dentro del rango habitual.</v>
      </c>
      <c r="P5"/>
      <c r="Q5"/>
    </row>
    <row r="6" spans="1:17" x14ac:dyDescent="0.25">
      <c r="A6" s="14">
        <v>46227</v>
      </c>
      <c r="B6" s="3" t="s">
        <v>183</v>
      </c>
      <c r="C6" s="3">
        <v>5</v>
      </c>
      <c r="E6" s="12">
        <v>3462.8</v>
      </c>
      <c r="F6" s="12">
        <f>IF(Tabla4[[#This Row],[Artículo]]="","",IFERROR(_xlfn.XLOOKUP(Tabla4[[#This Row],[Artículo]],Tabla2[Artículo],Tabla2[Precio Unitario ARS],"",0,-1),""))</f>
        <v>3462.8</v>
      </c>
      <c r="G6" s="12" t="str">
        <f>IF(Tabla4[[#This Row],[Artículo]]="","",IFERROR(_xlfn.XLOOKUP(Tabla4[[#This Row],[Artículo]],Tabla2[Artículo],Tabla2[Proveedor],"",0,-1),""))</f>
        <v>Imperio de la Limpieza</v>
      </c>
      <c r="H6" s="12" cm="1">
        <f t="array" ref="H6">IF(Tabla4[[#This Row],[Artículo]]="","",IFERROR(MIN(_xlfn._xlws.FILTER(Tabla2[Precio Unitario ARS],Tabla2[Artículo]=Tabla4[[#This Row],[Artículo]])),""))</f>
        <v>3198.34</v>
      </c>
      <c r="I6" s="12" t="str" cm="1">
        <f t="array" ref="I6">IF(Tabla4[[#This Row],[Artículo]]="","",IFERROR(_xlfn.XLOOKUP(1,(Tabla2[Artículo]=Tabla4[[#This Row],[Artículo]])*(Tabla2[Precio Unitario ARS]=Tabla4[[#This Row],[Mejor Precio]]),Tabla2[Proveedor]),""))</f>
        <v>Imperio de la Limpieza</v>
      </c>
      <c r="J6" s="11">
        <f>IF(Tabla4[[#This Row],[Artículo]]="","",IFERROR((Tabla4[[#This Row],[Precio Cotizado]]-Tabla4[[#This Row],[Últ. Precio]])/Tabla4[[#This Row],[Últ. Precio]],""))</f>
        <v>0</v>
      </c>
      <c r="K6" s="12">
        <f>IF(Tabla4[[#This Row],[Artículo]]="","",IFERROR(Tabla4[[#This Row],[Precio Cotizado]]-Tabla4[[#This Row],[Mejor Precio]],""))</f>
        <v>264.46000000000004</v>
      </c>
      <c r="L6" s="13">
        <f>IF(Tabla4[[#This Row],[Artículo]]="","",IFERROR(Tabla4[[#This Row],[Dif por Unidad]]*Tabla4[[#This Row],[Cantidad]],""))</f>
        <v>1322.3000000000002</v>
      </c>
      <c r="M6" s="3" t="str">
        <f t="shared" si="0"/>
        <v>Dentro del rango</v>
      </c>
      <c r="N6" s="3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>✓ Precio dentro del rango habitual.</v>
      </c>
      <c r="P6"/>
      <c r="Q6"/>
    </row>
    <row r="7" spans="1:17" x14ac:dyDescent="0.25">
      <c r="A7" s="14">
        <v>46227</v>
      </c>
      <c r="B7" s="3" t="s">
        <v>185</v>
      </c>
      <c r="C7" s="3">
        <v>15</v>
      </c>
      <c r="E7" s="12">
        <f>611.57/15</f>
        <v>40.771333333333338</v>
      </c>
      <c r="F7" s="12">
        <f>IF(Tabla4[[#This Row],[Artículo]]="","",IFERROR(_xlfn.XLOOKUP(Tabla4[[#This Row],[Artículo]],Tabla2[Artículo],Tabla2[Precio Unitario ARS],"",0,-1),""))</f>
        <v>611.57000000000005</v>
      </c>
      <c r="G7" s="12" t="str">
        <f>IF(Tabla4[[#This Row],[Artículo]]="","",IFERROR(_xlfn.XLOOKUP(Tabla4[[#This Row],[Artículo]],Tabla2[Artículo],Tabla2[Proveedor],"",0,-1),""))</f>
        <v>Imperio de la Limpieza</v>
      </c>
      <c r="H7" s="12" cm="1">
        <f t="array" ref="H7">IF(Tabla4[[#This Row],[Artículo]]="","",IFERROR(MIN(_xlfn._xlws.FILTER(Tabla2[Precio Unitario ARS],Tabla2[Artículo]=Tabla4[[#This Row],[Artículo]])),""))</f>
        <v>61.157000000000004</v>
      </c>
      <c r="I7" s="12" t="str" cm="1">
        <f t="array" ref="I7">IF(Tabla4[[#This Row],[Artículo]]="","",IFERROR(_xlfn.XLOOKUP(1,(Tabla2[Artículo]=Tabla4[[#This Row],[Artículo]])*(Tabla2[Precio Unitario ARS]=Tabla4[[#This Row],[Mejor Precio]]),Tabla2[Proveedor]),""))</f>
        <v>Imperio de la Limpieza</v>
      </c>
      <c r="J7" s="11">
        <f>IF(Tabla4[[#This Row],[Artículo]]="","",IFERROR((Tabla4[[#This Row],[Precio Cotizado]]-Tabla4[[#This Row],[Últ. Precio]])/Tabla4[[#This Row],[Últ. Precio]],""))</f>
        <v>-0.93333333333333335</v>
      </c>
      <c r="K7" s="12">
        <f>IF(Tabla4[[#This Row],[Artículo]]="","",IFERROR(Tabla4[[#This Row],[Precio Cotizado]]-Tabla4[[#This Row],[Mejor Precio]],""))</f>
        <v>-20.385666666666665</v>
      </c>
      <c r="L7" s="13">
        <f>IF(Tabla4[[#This Row],[Artículo]]="","",IFERROR(Tabla4[[#This Row],[Dif por Unidad]]*Tabla4[[#This Row],[Cantidad]],""))</f>
        <v>-305.78499999999997</v>
      </c>
      <c r="M7" s="3" t="str">
        <f t="shared" si="0"/>
        <v>Más barato</v>
      </c>
      <c r="N7" s="3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>✓ Conviene comprar. Ahorro respecto al mejor precio.</v>
      </c>
      <c r="P7"/>
      <c r="Q7"/>
    </row>
    <row r="8" spans="1:17" x14ac:dyDescent="0.25">
      <c r="A8" s="14">
        <v>46227</v>
      </c>
      <c r="B8" s="3" t="s">
        <v>186</v>
      </c>
      <c r="C8" s="3">
        <v>10</v>
      </c>
      <c r="E8" s="12">
        <f>1876.03/10</f>
        <v>187.60300000000001</v>
      </c>
      <c r="F8" s="12">
        <f>IF(Tabla4[[#This Row],[Artículo]]="","",IFERROR(_xlfn.XLOOKUP(Tabla4[[#This Row],[Artículo]],Tabla2[Artículo],Tabla2[Precio Unitario ARS],"",0,-1),""))</f>
        <v>1876.03</v>
      </c>
      <c r="G8" s="12" t="str">
        <f>IF(Tabla4[[#This Row],[Artículo]]="","",IFERROR(_xlfn.XLOOKUP(Tabla4[[#This Row],[Artículo]],Tabla2[Artículo],Tabla2[Proveedor],"",0,-1),""))</f>
        <v>Imperio de la Limpieza</v>
      </c>
      <c r="H8" s="12" cm="1">
        <f t="array" ref="H8">IF(Tabla4[[#This Row],[Artículo]]="","",IFERROR(MIN(_xlfn._xlws.FILTER(Tabla2[Precio Unitario ARS],Tabla2[Artículo]=Tabla4[[#This Row],[Artículo]])),""))</f>
        <v>187.60300000000001</v>
      </c>
      <c r="I8" s="12" t="str" cm="1">
        <f t="array" ref="I8">IF(Tabla4[[#This Row],[Artículo]]="","",IFERROR(_xlfn.XLOOKUP(1,(Tabla2[Artículo]=Tabla4[[#This Row],[Artículo]])*(Tabla2[Precio Unitario ARS]=Tabla4[[#This Row],[Mejor Precio]]),Tabla2[Proveedor]),""))</f>
        <v>Imperio de la Limpieza</v>
      </c>
      <c r="J8" s="11">
        <f>IF(Tabla4[[#This Row],[Artículo]]="","",IFERROR((Tabla4[[#This Row],[Precio Cotizado]]-Tabla4[[#This Row],[Últ. Precio]])/Tabla4[[#This Row],[Últ. Precio]],""))</f>
        <v>-0.89999999999999991</v>
      </c>
      <c r="K8" s="12">
        <f>IF(Tabla4[[#This Row],[Artículo]]="","",IFERROR(Tabla4[[#This Row],[Precio Cotizado]]-Tabla4[[#This Row],[Mejor Precio]],""))</f>
        <v>0</v>
      </c>
      <c r="L8" s="13">
        <f>IF(Tabla4[[#This Row],[Artículo]]="","",IFERROR(Tabla4[[#This Row],[Dif por Unidad]]*Tabla4[[#This Row],[Cantidad]],""))</f>
        <v>0</v>
      </c>
      <c r="M8" s="3" t="str">
        <f t="shared" si="0"/>
        <v>Más barato</v>
      </c>
      <c r="N8" s="3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>✓ Conviene comprar. Ahorro respecto al mejor precio.</v>
      </c>
    </row>
    <row r="9" spans="1:17" x14ac:dyDescent="0.25">
      <c r="A9" s="14">
        <v>46227</v>
      </c>
      <c r="B9" s="3" t="s">
        <v>187</v>
      </c>
      <c r="C9" s="3">
        <v>5</v>
      </c>
      <c r="E9" s="12">
        <v>553.71</v>
      </c>
      <c r="F9" s="12">
        <f>IF(Tabla4[[#This Row],[Artículo]]="","",IFERROR(_xlfn.XLOOKUP(Tabla4[[#This Row],[Artículo]],Tabla2[Artículo],Tabla2[Precio Unitario ARS],"",0,-1),""))</f>
        <v>553.71</v>
      </c>
      <c r="G9" s="12" t="str">
        <f>IF(Tabla4[[#This Row],[Artículo]]="","",IFERROR(_xlfn.XLOOKUP(Tabla4[[#This Row],[Artículo]],Tabla2[Artículo],Tabla2[Proveedor],"",0,-1),""))</f>
        <v>Imperio de la Limpieza</v>
      </c>
      <c r="H9" s="12" cm="1">
        <f t="array" ref="H9">IF(Tabla4[[#This Row],[Artículo]]="","",IFERROR(MIN(_xlfn._xlws.FILTER(Tabla2[Precio Unitario ARS],Tabla2[Artículo]=Tabla4[[#This Row],[Artículo]])),""))</f>
        <v>504.13</v>
      </c>
      <c r="I9" s="12" t="str" cm="1">
        <f t="array" ref="I9">IF(Tabla4[[#This Row],[Artículo]]="","",IFERROR(_xlfn.XLOOKUP(1,(Tabla2[Artículo]=Tabla4[[#This Row],[Artículo]])*(Tabla2[Precio Unitario ARS]=Tabla4[[#This Row],[Mejor Precio]]),Tabla2[Proveedor]),""))</f>
        <v>Imperio de la Limpieza</v>
      </c>
      <c r="J9" s="11">
        <f>IF(Tabla4[[#This Row],[Artículo]]="","",IFERROR((Tabla4[[#This Row],[Precio Cotizado]]-Tabla4[[#This Row],[Últ. Precio]])/Tabla4[[#This Row],[Últ. Precio]],""))</f>
        <v>0</v>
      </c>
      <c r="K9" s="12">
        <f>IF(Tabla4[[#This Row],[Artículo]]="","",IFERROR(Tabla4[[#This Row],[Precio Cotizado]]-Tabla4[[#This Row],[Mejor Precio]],""))</f>
        <v>49.580000000000041</v>
      </c>
      <c r="L9" s="13">
        <f>IF(Tabla4[[#This Row],[Artículo]]="","",IFERROR(Tabla4[[#This Row],[Dif por Unidad]]*Tabla4[[#This Row],[Cantidad]],""))</f>
        <v>247.9000000000002</v>
      </c>
      <c r="M9" s="3" t="str">
        <f t="shared" si="0"/>
        <v>Dentro del rango</v>
      </c>
      <c r="N9" s="3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>✓ Precio dentro del rango habitual.</v>
      </c>
    </row>
    <row r="10" spans="1:17" x14ac:dyDescent="0.25">
      <c r="A10" s="14">
        <v>46227</v>
      </c>
      <c r="B10" s="3" t="s">
        <v>188</v>
      </c>
      <c r="C10" s="3">
        <v>5</v>
      </c>
      <c r="E10" s="12">
        <v>2933.88</v>
      </c>
      <c r="F10" s="12">
        <f>IF(Tabla4[[#This Row],[Artículo]]="","",IFERROR(_xlfn.XLOOKUP(Tabla4[[#This Row],[Artículo]],Tabla2[Artículo],Tabla2[Precio Unitario ARS],"",0,-1),""))</f>
        <v>2933.88</v>
      </c>
      <c r="G10" s="12" t="str">
        <f>IF(Tabla4[[#This Row],[Artículo]]="","",IFERROR(_xlfn.XLOOKUP(Tabla4[[#This Row],[Artículo]],Tabla2[Artículo],Tabla2[Proveedor],"",0,-1),""))</f>
        <v>Imperio de la Limpieza</v>
      </c>
      <c r="H10" s="12" cm="1">
        <f t="array" ref="H10">IF(Tabla4[[#This Row],[Artículo]]="","",IFERROR(MIN(_xlfn._xlws.FILTER(Tabla2[Precio Unitario ARS],Tabla2[Artículo]=Tabla4[[#This Row],[Artículo]])),""))</f>
        <v>561.98199999999997</v>
      </c>
      <c r="I10" s="12" t="str" cm="1">
        <f t="array" ref="I10">IF(Tabla4[[#This Row],[Artículo]]="","",IFERROR(_xlfn.XLOOKUP(1,(Tabla2[Artículo]=Tabla4[[#This Row],[Artículo]])*(Tabla2[Precio Unitario ARS]=Tabla4[[#This Row],[Mejor Precio]]),Tabla2[Proveedor]),""))</f>
        <v>Imperio de la Limpieza</v>
      </c>
      <c r="J10" s="11">
        <f>IF(Tabla4[[#This Row],[Artículo]]="","",IFERROR((Tabla4[[#This Row],[Precio Cotizado]]-Tabla4[[#This Row],[Últ. Precio]])/Tabla4[[#This Row],[Últ. Precio]],""))</f>
        <v>0</v>
      </c>
      <c r="K10" s="12">
        <f>IF(Tabla4[[#This Row],[Artículo]]="","",IFERROR(Tabla4[[#This Row],[Precio Cotizado]]-Tabla4[[#This Row],[Mejor Precio]],""))</f>
        <v>2371.8980000000001</v>
      </c>
      <c r="L10" s="13">
        <f>IF(Tabla4[[#This Row],[Artículo]]="","",IFERROR(Tabla4[[#This Row],[Dif por Unidad]]*Tabla4[[#This Row],[Cantidad]],""))</f>
        <v>11859.490000000002</v>
      </c>
      <c r="M10" s="3" t="str">
        <f t="shared" si="0"/>
        <v>Dentro del rango</v>
      </c>
      <c r="N10" s="3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>✓ Precio dentro del rango habitual.</v>
      </c>
    </row>
    <row r="11" spans="1:17" x14ac:dyDescent="0.25">
      <c r="A11" s="14">
        <v>46227</v>
      </c>
      <c r="B11" s="3" t="s">
        <v>189</v>
      </c>
      <c r="C11" s="3">
        <v>1</v>
      </c>
      <c r="E11" s="12">
        <v>2917.35</v>
      </c>
      <c r="F11" s="12">
        <f>IF(Tabla4[[#This Row],[Artículo]]="","",IFERROR(_xlfn.XLOOKUP(Tabla4[[#This Row],[Artículo]],Tabla2[Artículo],Tabla2[Precio Unitario ARS],"",0,-1),""))</f>
        <v>2917.35</v>
      </c>
      <c r="G11" s="12" t="str">
        <f>IF(Tabla4[[#This Row],[Artículo]]="","",IFERROR(_xlfn.XLOOKUP(Tabla4[[#This Row],[Artículo]],Tabla2[Artículo],Tabla2[Proveedor],"",0,-1),""))</f>
        <v>Imperio de la Limpieza</v>
      </c>
      <c r="H11" s="12" cm="1">
        <f t="array" ref="H11">IF(Tabla4[[#This Row],[Artículo]]="","",IFERROR(MIN(_xlfn._xlws.FILTER(Tabla2[Precio Unitario ARS],Tabla2[Artículo]=Tabla4[[#This Row],[Artículo]])),""))</f>
        <v>2628.09</v>
      </c>
      <c r="I11" s="12" t="str" cm="1">
        <f t="array" ref="I11">IF(Tabla4[[#This Row],[Artículo]]="","",IFERROR(_xlfn.XLOOKUP(1,(Tabla2[Artículo]=Tabla4[[#This Row],[Artículo]])*(Tabla2[Precio Unitario ARS]=Tabla4[[#This Row],[Mejor Precio]]),Tabla2[Proveedor]),""))</f>
        <v>Imperio de la Limpieza</v>
      </c>
      <c r="J11" s="11">
        <f>IF(Tabla4[[#This Row],[Artículo]]="","",IFERROR((Tabla4[[#This Row],[Precio Cotizado]]-Tabla4[[#This Row],[Últ. Precio]])/Tabla4[[#This Row],[Últ. Precio]],""))</f>
        <v>0</v>
      </c>
      <c r="K11" s="12">
        <f>IF(Tabla4[[#This Row],[Artículo]]="","",IFERROR(Tabla4[[#This Row],[Precio Cotizado]]-Tabla4[[#This Row],[Mejor Precio]],""))</f>
        <v>289.25999999999976</v>
      </c>
      <c r="L11" s="13">
        <f>IF(Tabla4[[#This Row],[Artículo]]="","",IFERROR(Tabla4[[#This Row],[Dif por Unidad]]*Tabla4[[#This Row],[Cantidad]],""))</f>
        <v>289.25999999999976</v>
      </c>
      <c r="M11" s="3" t="str">
        <f t="shared" si="0"/>
        <v>Dentro del rango</v>
      </c>
      <c r="N11" s="3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>✓ Precio dentro del rango habitual.</v>
      </c>
    </row>
    <row r="12" spans="1:17" x14ac:dyDescent="0.25">
      <c r="A12" s="14">
        <v>46227</v>
      </c>
      <c r="B12" s="3" t="s">
        <v>197</v>
      </c>
      <c r="C12" s="3">
        <v>1</v>
      </c>
      <c r="E12" s="12">
        <v>9008.23</v>
      </c>
      <c r="F12" s="12">
        <f>IF(Tabla4[[#This Row],[Artículo]]="","",IFERROR(_xlfn.XLOOKUP(Tabla4[[#This Row],[Artículo]],Tabla2[Artículo],Tabla2[Precio Unitario ARS],"",0,-1),""))</f>
        <v>9008.26</v>
      </c>
      <c r="G12" s="12" t="str">
        <f>IF(Tabla4[[#This Row],[Artículo]]="","",IFERROR(_xlfn.XLOOKUP(Tabla4[[#This Row],[Artículo]],Tabla2[Artículo],Tabla2[Proveedor],"",0,-1),""))</f>
        <v>Imperio de la Limpieza</v>
      </c>
      <c r="H12" s="12" cm="1">
        <f t="array" ref="H12">IF(Tabla4[[#This Row],[Artículo]]="","",IFERROR(MIN(_xlfn._xlws.FILTER(Tabla2[Precio Unitario ARS],Tabla2[Artículo]=Tabla4[[#This Row],[Artículo]])),""))</f>
        <v>1692.56</v>
      </c>
      <c r="I12" s="12" t="str" cm="1">
        <f t="array" ref="I12">IF(Tabla4[[#This Row],[Artículo]]="","",IFERROR(_xlfn.XLOOKUP(1,(Tabla2[Artículo]=Tabla4[[#This Row],[Artículo]])*(Tabla2[Precio Unitario ARS]=Tabla4[[#This Row],[Mejor Precio]]),Tabla2[Proveedor]),""))</f>
        <v>Imperio de la Limpieza</v>
      </c>
      <c r="J12" s="11">
        <f>IF(Tabla4[[#This Row],[Artículo]]="","",IFERROR((Tabla4[[#This Row],[Precio Cotizado]]-Tabla4[[#This Row],[Últ. Precio]])/Tabla4[[#This Row],[Últ. Precio]],""))</f>
        <v>-3.3302768792924311E-6</v>
      </c>
      <c r="K12" s="12">
        <f>IF(Tabla4[[#This Row],[Artículo]]="","",IFERROR(Tabla4[[#This Row],[Precio Cotizado]]-Tabla4[[#This Row],[Mejor Precio]],""))</f>
        <v>7315.67</v>
      </c>
      <c r="L12" s="13">
        <f>IF(Tabla4[[#This Row],[Artículo]]="","",IFERROR(Tabla4[[#This Row],[Dif por Unidad]]*Tabla4[[#This Row],[Cantidad]],""))</f>
        <v>7315.67</v>
      </c>
      <c r="M12" s="3" t="str">
        <f t="shared" si="0"/>
        <v>Más barato</v>
      </c>
      <c r="N12" s="3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>✓ Conviene comprar. Ahorro respecto al mejor precio.</v>
      </c>
    </row>
    <row r="13" spans="1:17" x14ac:dyDescent="0.25">
      <c r="A13" s="14">
        <v>46227</v>
      </c>
      <c r="B13" s="3" t="s">
        <v>198</v>
      </c>
      <c r="C13" s="3">
        <v>3</v>
      </c>
      <c r="E13" s="12"/>
      <c r="F13" s="12">
        <f>IF(Tabla4[[#This Row],[Artículo]]="","",IFERROR(_xlfn.XLOOKUP(Tabla4[[#This Row],[Artículo]],Tabla2[Artículo],Tabla2[Precio Unitario ARS],"",0,-1),""))</f>
        <v>9000</v>
      </c>
      <c r="G13" s="12" t="str">
        <f>IF(Tabla4[[#This Row],[Artículo]]="","",IFERROR(_xlfn.XLOOKUP(Tabla4[[#This Row],[Artículo]],Tabla2[Artículo],Tabla2[Proveedor],"",0,-1),""))</f>
        <v>Imperio de la Limpieza</v>
      </c>
      <c r="H13" s="12" cm="1">
        <f t="array" ref="H13">IF(Tabla4[[#This Row],[Artículo]]="","",IFERROR(MIN(_xlfn._xlws.FILTER(Tabla2[Precio Unitario ARS],Tabla2[Artículo]=Tabla4[[#This Row],[Artículo]])),""))</f>
        <v>1647.932</v>
      </c>
      <c r="I13" s="12" t="str" cm="1">
        <f t="array" ref="I13">IF(Tabla4[[#This Row],[Artículo]]="","",IFERROR(_xlfn.XLOOKUP(1,(Tabla2[Artículo]=Tabla4[[#This Row],[Artículo]])*(Tabla2[Precio Unitario ARS]=Tabla4[[#This Row],[Mejor Precio]]),Tabla2[Proveedor]),""))</f>
        <v>Imperio de la Limpieza</v>
      </c>
      <c r="J13" s="11">
        <f>IF(Tabla4[[#This Row],[Artículo]]="","",IFERROR((Tabla4[[#This Row],[Precio Cotizado]]-Tabla4[[#This Row],[Últ. Precio]])/Tabla4[[#This Row],[Últ. Precio]],""))</f>
        <v>-1</v>
      </c>
      <c r="K13" s="12">
        <f>IF(Tabla4[[#This Row],[Artículo]]="","",IFERROR(Tabla4[[#This Row],[Precio Cotizado]]-Tabla4[[#This Row],[Mejor Precio]],""))</f>
        <v>-1647.932</v>
      </c>
      <c r="L13" s="13">
        <f>IF(Tabla4[[#This Row],[Artículo]]="","",IFERROR(Tabla4[[#This Row],[Dif por Unidad]]*Tabla4[[#This Row],[Cantidad]],""))</f>
        <v>-4943.7960000000003</v>
      </c>
      <c r="M13" s="3" t="str">
        <f t="shared" si="0"/>
        <v>Más barato</v>
      </c>
      <c r="N13" s="3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>✓ Conviene comprar. Ahorro respecto al mejor precio.</v>
      </c>
    </row>
    <row r="14" spans="1:17" x14ac:dyDescent="0.25">
      <c r="A14" s="14">
        <v>46227</v>
      </c>
      <c r="B14" s="3" t="s">
        <v>200</v>
      </c>
      <c r="C14" s="3">
        <v>2</v>
      </c>
      <c r="E14" s="12"/>
      <c r="F14" s="12">
        <f>IF(Tabla4[[#This Row],[Artículo]]="","",IFERROR(_xlfn.XLOOKUP(Tabla4[[#This Row],[Artículo]],Tabla2[Artículo],Tabla2[Precio Unitario ARS],"",0,-1),""))</f>
        <v>3801.65</v>
      </c>
      <c r="G14" s="12" t="str">
        <f>IF(Tabla4[[#This Row],[Artículo]]="","",IFERROR(_xlfn.XLOOKUP(Tabla4[[#This Row],[Artículo]],Tabla2[Artículo],Tabla2[Proveedor],"",0,-1),""))</f>
        <v>Imperio de la Limpieza</v>
      </c>
      <c r="H14" s="12" cm="1">
        <f t="array" ref="H14">IF(Tabla4[[#This Row],[Artículo]]="","",IFERROR(MIN(_xlfn._xlws.FILTER(Tabla2[Precio Unitario ARS],Tabla2[Artículo]=Tabla4[[#This Row],[Artículo]])),""))</f>
        <v>3801.65</v>
      </c>
      <c r="I14" s="12" t="str" cm="1">
        <f t="array" ref="I14">IF(Tabla4[[#This Row],[Artículo]]="","",IFERROR(_xlfn.XLOOKUP(1,(Tabla2[Artículo]=Tabla4[[#This Row],[Artículo]])*(Tabla2[Precio Unitario ARS]=Tabla4[[#This Row],[Mejor Precio]]),Tabla2[Proveedor]),""))</f>
        <v>Imperio de la Limpieza</v>
      </c>
      <c r="J14" s="11">
        <f>IF(Tabla4[[#This Row],[Artículo]]="","",IFERROR((Tabla4[[#This Row],[Precio Cotizado]]-Tabla4[[#This Row],[Últ. Precio]])/Tabla4[[#This Row],[Últ. Precio]],""))</f>
        <v>-1</v>
      </c>
      <c r="K14" s="12">
        <f>IF(Tabla4[[#This Row],[Artículo]]="","",IFERROR(Tabla4[[#This Row],[Precio Cotizado]]-Tabla4[[#This Row],[Mejor Precio]],""))</f>
        <v>-3801.65</v>
      </c>
      <c r="L14" s="13">
        <f>IF(Tabla4[[#This Row],[Artículo]]="","",IFERROR(Tabla4[[#This Row],[Dif por Unidad]]*Tabla4[[#This Row],[Cantidad]],""))</f>
        <v>-7603.3</v>
      </c>
      <c r="M14" s="3" t="str">
        <f t="shared" si="0"/>
        <v>Más barato</v>
      </c>
      <c r="N14" s="3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>✓ Conviene comprar. Ahorro respecto al mejor precio.</v>
      </c>
    </row>
    <row r="15" spans="1:17" x14ac:dyDescent="0.25">
      <c r="A15" s="14">
        <v>46227</v>
      </c>
      <c r="B15" s="3" t="s">
        <v>203</v>
      </c>
      <c r="C15" s="3">
        <v>1</v>
      </c>
      <c r="E15" s="12"/>
      <c r="F15" s="12">
        <f>IF(Tabla4[[#This Row],[Artículo]]="","",IFERROR(_xlfn.XLOOKUP(Tabla4[[#This Row],[Artículo]],Tabla2[Artículo],Tabla2[Precio Unitario ARS],"",0,-1),""))</f>
        <v>14380.16</v>
      </c>
      <c r="G15" s="12" t="str">
        <f>IF(Tabla4[[#This Row],[Artículo]]="","",IFERROR(_xlfn.XLOOKUP(Tabla4[[#This Row],[Artículo]],Tabla2[Artículo],Tabla2[Proveedor],"",0,-1),""))</f>
        <v>Imperio de la Limpieza</v>
      </c>
      <c r="H15" s="12" cm="1">
        <f t="array" ref="H15">IF(Tabla4[[#This Row],[Artículo]]="","",IFERROR(MIN(_xlfn._xlws.FILTER(Tabla2[Precio Unitario ARS],Tabla2[Artículo]=Tabla4[[#This Row],[Artículo]])),""))</f>
        <v>14008.26</v>
      </c>
      <c r="I15" s="12" t="str" cm="1">
        <f t="array" ref="I15">IF(Tabla4[[#This Row],[Artículo]]="","",IFERROR(_xlfn.XLOOKUP(1,(Tabla2[Artículo]=Tabla4[[#This Row],[Artículo]])*(Tabla2[Precio Unitario ARS]=Tabla4[[#This Row],[Mejor Precio]]),Tabla2[Proveedor]),""))</f>
        <v>Imperio de la Limpieza</v>
      </c>
      <c r="J15" s="11">
        <f>IF(Tabla4[[#This Row],[Artículo]]="","",IFERROR((Tabla4[[#This Row],[Precio Cotizado]]-Tabla4[[#This Row],[Últ. Precio]])/Tabla4[[#This Row],[Últ. Precio]],""))</f>
        <v>-1</v>
      </c>
      <c r="K15" s="12">
        <f>IF(Tabla4[[#This Row],[Artículo]]="","",IFERROR(Tabla4[[#This Row],[Precio Cotizado]]-Tabla4[[#This Row],[Mejor Precio]],""))</f>
        <v>-14008.26</v>
      </c>
      <c r="L15" s="13">
        <f>IF(Tabla4[[#This Row],[Artículo]]="","",IFERROR(Tabla4[[#This Row],[Dif por Unidad]]*Tabla4[[#This Row],[Cantidad]],""))</f>
        <v>-14008.26</v>
      </c>
      <c r="M15" s="3" t="str">
        <f t="shared" si="0"/>
        <v>Más barato</v>
      </c>
      <c r="N15" s="3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>✓ Conviene comprar. Ahorro respecto al mejor precio.</v>
      </c>
    </row>
    <row r="16" spans="1:17" x14ac:dyDescent="0.25">
      <c r="A16" s="14">
        <v>46227</v>
      </c>
      <c r="B16" s="3" t="s">
        <v>204</v>
      </c>
      <c r="C16" s="3">
        <v>2</v>
      </c>
      <c r="E16" s="12"/>
      <c r="F16" s="12">
        <f>IF(Tabla4[[#This Row],[Artículo]]="","",IFERROR(_xlfn.XLOOKUP(Tabla4[[#This Row],[Artículo]],Tabla2[Artículo],Tabla2[Precio Unitario ARS],"",0,-1),""))</f>
        <v>12851.23</v>
      </c>
      <c r="G16" s="12" t="str">
        <f>IF(Tabla4[[#This Row],[Artículo]]="","",IFERROR(_xlfn.XLOOKUP(Tabla4[[#This Row],[Artículo]],Tabla2[Artículo],Tabla2[Proveedor],"",0,-1),""))</f>
        <v>Imperio de la Limpieza</v>
      </c>
      <c r="H16" s="12" cm="1">
        <f t="array" ref="H16">IF(Tabla4[[#This Row],[Artículo]]="","",IFERROR(MIN(_xlfn._xlws.FILTER(Tabla2[Precio Unitario ARS],Tabla2[Artículo]=Tabla4[[#This Row],[Artículo]])),""))</f>
        <v>12851.23</v>
      </c>
      <c r="I16" s="12" t="str" cm="1">
        <f t="array" ref="I16">IF(Tabla4[[#This Row],[Artículo]]="","",IFERROR(_xlfn.XLOOKUP(1,(Tabla2[Artículo]=Tabla4[[#This Row],[Artículo]])*(Tabla2[Precio Unitario ARS]=Tabla4[[#This Row],[Mejor Precio]]),Tabla2[Proveedor]),""))</f>
        <v>Imperio de la Limpieza</v>
      </c>
      <c r="J16" s="11">
        <f>IF(Tabla4[[#This Row],[Artículo]]="","",IFERROR((Tabla4[[#This Row],[Precio Cotizado]]-Tabla4[[#This Row],[Últ. Precio]])/Tabla4[[#This Row],[Últ. Precio]],""))</f>
        <v>-1</v>
      </c>
      <c r="K16" s="12">
        <f>IF(Tabla4[[#This Row],[Artículo]]="","",IFERROR(Tabla4[[#This Row],[Precio Cotizado]]-Tabla4[[#This Row],[Mejor Precio]],""))</f>
        <v>-12851.23</v>
      </c>
      <c r="L16" s="13">
        <f>IF(Tabla4[[#This Row],[Artículo]]="","",IFERROR(Tabla4[[#This Row],[Dif por Unidad]]*Tabla4[[#This Row],[Cantidad]],""))</f>
        <v>-25702.46</v>
      </c>
      <c r="M16" s="3" t="str">
        <f t="shared" si="0"/>
        <v>Más barato</v>
      </c>
      <c r="N16" s="3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>✓ Conviene comprar. Ahorro respecto al mejor precio.</v>
      </c>
    </row>
    <row r="17" spans="1:14" x14ac:dyDescent="0.25">
      <c r="A17" s="14">
        <v>46227</v>
      </c>
      <c r="B17" s="3" t="s">
        <v>211</v>
      </c>
      <c r="C17" s="3">
        <v>1</v>
      </c>
      <c r="E17" s="12"/>
      <c r="F17" s="12">
        <f>IF(Tabla4[[#This Row],[Artículo]]="","",IFERROR(_xlfn.XLOOKUP(Tabla4[[#This Row],[Artículo]],Tabla2[Artículo],Tabla2[Precio Unitario ARS],"",0,-1),""))</f>
        <v>743.8</v>
      </c>
      <c r="G17" s="12" t="str">
        <f>IF(Tabla4[[#This Row],[Artículo]]="","",IFERROR(_xlfn.XLOOKUP(Tabla4[[#This Row],[Artículo]],Tabla2[Artículo],Tabla2[Proveedor],"",0,-1),""))</f>
        <v>Imperio de la Limpieza</v>
      </c>
      <c r="H17" s="12" cm="1">
        <f t="array" ref="H17">IF(Tabla4[[#This Row],[Artículo]]="","",IFERROR(MIN(_xlfn._xlws.FILTER(Tabla2[Precio Unitario ARS],Tabla2[Artículo]=Tabla4[[#This Row],[Artículo]])),""))</f>
        <v>710.74</v>
      </c>
      <c r="I17" s="12" t="str" cm="1">
        <f t="array" ref="I17">IF(Tabla4[[#This Row],[Artículo]]="","",IFERROR(_xlfn.XLOOKUP(1,(Tabla2[Artículo]=Tabla4[[#This Row],[Artículo]])*(Tabla2[Precio Unitario ARS]=Tabla4[[#This Row],[Mejor Precio]]),Tabla2[Proveedor]),""))</f>
        <v>Imperio de la Limpieza</v>
      </c>
      <c r="J17" s="11">
        <f>IF(Tabla4[[#This Row],[Artículo]]="","",IFERROR((Tabla4[[#This Row],[Precio Cotizado]]-Tabla4[[#This Row],[Últ. Precio]])/Tabla4[[#This Row],[Últ. Precio]],""))</f>
        <v>-1</v>
      </c>
      <c r="K17" s="12">
        <f>IF(Tabla4[[#This Row],[Artículo]]="","",IFERROR(Tabla4[[#This Row],[Precio Cotizado]]-Tabla4[[#This Row],[Mejor Precio]],""))</f>
        <v>-710.74</v>
      </c>
      <c r="L17" s="13">
        <f>IF(Tabla4[[#This Row],[Artículo]]="","",IFERROR(Tabla4[[#This Row],[Dif por Unidad]]*Tabla4[[#This Row],[Cantidad]],""))</f>
        <v>-710.74</v>
      </c>
      <c r="M17" s="3" t="str">
        <f t="shared" si="0"/>
        <v>Más barato</v>
      </c>
      <c r="N17" s="3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>✓ Conviene comprar. Ahorro respecto al mejor precio.</v>
      </c>
    </row>
    <row r="18" spans="1:14" x14ac:dyDescent="0.25">
      <c r="A18" s="14">
        <v>46227</v>
      </c>
      <c r="B18" s="3" t="s">
        <v>212</v>
      </c>
      <c r="C18" s="3">
        <v>1</v>
      </c>
      <c r="E18" s="12"/>
      <c r="F18" s="12">
        <f>IF(Tabla4[[#This Row],[Artículo]]="","",IFERROR(_xlfn.XLOOKUP(Tabla4[[#This Row],[Artículo]],Tabla2[Artículo],Tabla2[Precio Unitario ARS],"",0,-1),""))</f>
        <v>1661.15</v>
      </c>
      <c r="G18" s="12" t="str">
        <f>IF(Tabla4[[#This Row],[Artículo]]="","",IFERROR(_xlfn.XLOOKUP(Tabla4[[#This Row],[Artículo]],Tabla2[Artículo],Tabla2[Proveedor],"",0,-1),""))</f>
        <v>Imperio de la Limpieza</v>
      </c>
      <c r="H18" s="12" cm="1">
        <f t="array" ref="H18">IF(Tabla4[[#This Row],[Artículo]]="","",IFERROR(MIN(_xlfn._xlws.FILTER(Tabla2[Precio Unitario ARS],Tabla2[Artículo]=Tabla4[[#This Row],[Artículo]])),""))</f>
        <v>1661.15</v>
      </c>
      <c r="I18" s="12" t="str" cm="1">
        <f t="array" ref="I18">IF(Tabla4[[#This Row],[Artículo]]="","",IFERROR(_xlfn.XLOOKUP(1,(Tabla2[Artículo]=Tabla4[[#This Row],[Artículo]])*(Tabla2[Precio Unitario ARS]=Tabla4[[#This Row],[Mejor Precio]]),Tabla2[Proveedor]),""))</f>
        <v>Imperio de la Limpieza</v>
      </c>
      <c r="J18" s="11">
        <f>IF(Tabla4[[#This Row],[Artículo]]="","",IFERROR((Tabla4[[#This Row],[Precio Cotizado]]-Tabla4[[#This Row],[Últ. Precio]])/Tabla4[[#This Row],[Últ. Precio]],""))</f>
        <v>-1</v>
      </c>
      <c r="K18" s="12">
        <f>IF(Tabla4[[#This Row],[Artículo]]="","",IFERROR(Tabla4[[#This Row],[Precio Cotizado]]-Tabla4[[#This Row],[Mejor Precio]],""))</f>
        <v>-1661.15</v>
      </c>
      <c r="L18" s="13">
        <f>IF(Tabla4[[#This Row],[Artículo]]="","",IFERROR(Tabla4[[#This Row],[Dif por Unidad]]*Tabla4[[#This Row],[Cantidad]],""))</f>
        <v>-1661.15</v>
      </c>
      <c r="M18" s="3" t="str">
        <f t="shared" si="0"/>
        <v>Más barato</v>
      </c>
      <c r="N18" s="3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>✓ Conviene comprar. Ahorro respecto al mejor precio.</v>
      </c>
    </row>
    <row r="19" spans="1:14" x14ac:dyDescent="0.25">
      <c r="A19" s="14">
        <v>46231</v>
      </c>
      <c r="B19" s="3" t="s">
        <v>100</v>
      </c>
      <c r="C19" s="3">
        <v>60</v>
      </c>
      <c r="D19" s="3" t="s">
        <v>150</v>
      </c>
      <c r="E19" s="12">
        <v>7620</v>
      </c>
      <c r="F19" s="12">
        <f>IF(Tabla4[[#This Row],[Artículo]]="","",IFERROR(_xlfn.XLOOKUP(Tabla4[[#This Row],[Artículo]],Tabla2[Artículo],Tabla2[Precio Unitario ARS],"",0,-1),""))</f>
        <v>7620</v>
      </c>
      <c r="G19" s="12" t="str">
        <f>IF(Tabla4[[#This Row],[Artículo]]="","",IFERROR(_xlfn.XLOOKUP(Tabla4[[#This Row],[Artículo]],Tabla2[Artículo],Tabla2[Proveedor],"",0,-1),""))</f>
        <v>Plásticos Aloha</v>
      </c>
      <c r="H19" s="12" cm="1">
        <f t="array" ref="H19">IF(Tabla4[[#This Row],[Artículo]]="","",IFERROR(MIN(_xlfn._xlws.FILTER(Tabla2[Precio Unitario ARS],Tabla2[Artículo]=Tabla4[[#This Row],[Artículo]])),""))</f>
        <v>7620</v>
      </c>
      <c r="I19" s="12" t="str" cm="1">
        <f t="array" ref="I19">IF(Tabla4[[#This Row],[Artículo]]="","",IFERROR(_xlfn.XLOOKUP(1,(Tabla2[Artículo]=Tabla4[[#This Row],[Artículo]])*(Tabla2[Precio Unitario ARS]=Tabla4[[#This Row],[Mejor Precio]]),Tabla2[Proveedor]),""))</f>
        <v>Plásticos Aloha</v>
      </c>
      <c r="J19" s="11">
        <f>IF(Tabla4[[#This Row],[Artículo]]="","",IFERROR((Tabla4[[#This Row],[Precio Cotizado]]-Tabla4[[#This Row],[Últ. Precio]])/Tabla4[[#This Row],[Últ. Precio]],""))</f>
        <v>0</v>
      </c>
      <c r="K19" s="12">
        <f>IF(Tabla4[[#This Row],[Artículo]]="","",IFERROR(Tabla4[[#This Row],[Precio Cotizado]]-Tabla4[[#This Row],[Mejor Precio]],""))</f>
        <v>0</v>
      </c>
      <c r="L19" s="13">
        <f>IF(Tabla4[[#This Row],[Artículo]]="","",IFERROR(Tabla4[[#This Row],[Dif por Unidad]]*Tabla4[[#This Row],[Cantidad]],""))</f>
        <v>0</v>
      </c>
      <c r="M19" s="3" t="str">
        <f t="shared" si="0"/>
        <v>Dentro del rango</v>
      </c>
      <c r="N19" s="3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>✓ Precio dentro del rango habitual.</v>
      </c>
    </row>
    <row r="20" spans="1:14" x14ac:dyDescent="0.25">
      <c r="A20" s="14">
        <v>46231</v>
      </c>
      <c r="B20" s="3" t="s">
        <v>216</v>
      </c>
      <c r="E20" s="12">
        <f>5.9*1520</f>
        <v>8968</v>
      </c>
      <c r="F20" s="12">
        <f>IF(Tabla4[[#This Row],[Artículo]]="","",IFERROR(_xlfn.XLOOKUP(Tabla4[[#This Row],[Artículo]],Tabla2[Artículo],Tabla2[Precio Unitario ARS],"",0,-1),""))</f>
        <v>3961.1</v>
      </c>
      <c r="G20" s="18" t="str">
        <f>IF(Tabla4[[#This Row],[Artículo]]="","",IFERROR(_xlfn.XLOOKUP(Tabla4[[#This Row],[Artículo]],Tabla2[Artículo],Tabla2[Proveedor],"",0,-1),""))</f>
        <v>Roguant</v>
      </c>
      <c r="H20" s="12" cm="1">
        <f t="array" ref="H20">IF(Tabla4[[#This Row],[Artículo]]="","",IFERROR(MIN(_xlfn._xlws.FILTER(Tabla2[Precio Unitario ARS],Tabla2[Artículo]=Tabla4[[#This Row],[Artículo]])),""))</f>
        <v>3961.1</v>
      </c>
      <c r="I20" s="12" t="str" cm="1">
        <f t="array" ref="I20">IF(Tabla4[[#This Row],[Artículo]]="","",IFERROR(_xlfn.XLOOKUP(1,(Tabla2[Artículo]=Tabla4[[#This Row],[Artículo]])*(Tabla2[Precio Unitario ARS]=Tabla4[[#This Row],[Mejor Precio]]),Tabla2[Proveedor]),""))</f>
        <v>Roguant</v>
      </c>
      <c r="J20" s="11">
        <f>IF(Tabla4[[#This Row],[Artículo]]="","",IFERROR((Tabla4[[#This Row],[Precio Cotizado]]-Tabla4[[#This Row],[Últ. Precio]])/Tabla4[[#This Row],[Últ. Precio]],""))</f>
        <v>1.2640175708767767</v>
      </c>
      <c r="K20" s="12">
        <f>IF(Tabla4[[#This Row],[Artículo]]="","",IFERROR(Tabla4[[#This Row],[Precio Cotizado]]-Tabla4[[#This Row],[Mejor Precio]],""))</f>
        <v>5006.8999999999996</v>
      </c>
      <c r="L20" s="13">
        <f>IF(Tabla4[[#This Row],[Artículo]]="","",IFERROR(Tabla4[[#This Row],[Dif por Unidad]]*Tabla4[[#This Row],[Cantidad]],""))</f>
        <v>0</v>
      </c>
      <c r="M20" s="19" t="str">
        <f t="shared" si="0"/>
        <v>Precio alto</v>
      </c>
      <c r="N20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>🚨 Precio elevado. Negociar o buscar alternativa.</v>
      </c>
    </row>
    <row r="21" spans="1:14" x14ac:dyDescent="0.25">
      <c r="A21" s="14">
        <v>46231</v>
      </c>
      <c r="B21" s="3" t="s">
        <v>218</v>
      </c>
      <c r="E21" s="12">
        <f>8.7*1520</f>
        <v>13223.999999999998</v>
      </c>
      <c r="F21" s="12">
        <f>IF(Tabla4[[#This Row],[Artículo]]="","",IFERROR(_xlfn.XLOOKUP(Tabla4[[#This Row],[Artículo]],Tabla2[Artículo],Tabla2[Precio Unitario ARS],"",0,-1),""))</f>
        <v>6306.3</v>
      </c>
      <c r="G21" s="18" t="str">
        <f>IF(Tabla4[[#This Row],[Artículo]]="","",IFERROR(_xlfn.XLOOKUP(Tabla4[[#This Row],[Artículo]],Tabla2[Artículo],Tabla2[Proveedor],"",0,-1),""))</f>
        <v>Roguant</v>
      </c>
      <c r="H21" s="12" cm="1">
        <f t="array" ref="H21">IF(Tabla4[[#This Row],[Artículo]]="","",IFERROR(MIN(_xlfn._xlws.FILTER(Tabla2[Precio Unitario ARS],Tabla2[Artículo]=Tabla4[[#This Row],[Artículo]])),""))</f>
        <v>6306.3</v>
      </c>
      <c r="I21" s="12" t="str" cm="1">
        <f t="array" ref="I21">IF(Tabla4[[#This Row],[Artículo]]="","",IFERROR(_xlfn.XLOOKUP(1,(Tabla2[Artículo]=Tabla4[[#This Row],[Artículo]])*(Tabla2[Precio Unitario ARS]=Tabla4[[#This Row],[Mejor Precio]]),Tabla2[Proveedor]),""))</f>
        <v>Roguant</v>
      </c>
      <c r="J21" s="11">
        <f>IF(Tabla4[[#This Row],[Artículo]]="","",IFERROR((Tabla4[[#This Row],[Precio Cotizado]]-Tabla4[[#This Row],[Últ. Precio]])/Tabla4[[#This Row],[Últ. Precio]],""))</f>
        <v>1.0969506683792394</v>
      </c>
      <c r="K21" s="12">
        <f>IF(Tabla4[[#This Row],[Artículo]]="","",IFERROR(Tabla4[[#This Row],[Precio Cotizado]]-Tabla4[[#This Row],[Mejor Precio]],""))</f>
        <v>6917.699999999998</v>
      </c>
      <c r="L21" s="13">
        <f>IF(Tabla4[[#This Row],[Artículo]]="","",IFERROR(Tabla4[[#This Row],[Dif por Unidad]]*Tabla4[[#This Row],[Cantidad]],""))</f>
        <v>0</v>
      </c>
      <c r="M21" s="19" t="str">
        <f t="shared" si="0"/>
        <v>Precio alto</v>
      </c>
      <c r="N21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>🚨 Precio elevado. Negociar o buscar alternativa.</v>
      </c>
    </row>
    <row r="22" spans="1:14" x14ac:dyDescent="0.25">
      <c r="A22" s="14">
        <v>46231</v>
      </c>
      <c r="B22" s="3" t="s">
        <v>219</v>
      </c>
      <c r="E22" s="12">
        <f>33.7*1520</f>
        <v>51224.000000000007</v>
      </c>
      <c r="F22" s="12" t="str">
        <f>IF(Tabla4[[#This Row],[Artículo]]="","",IFERROR(_xlfn.XLOOKUP(Tabla4[[#This Row],[Artículo]],Tabla2[Artículo],Tabla2[Precio Unitario ARS],"",0,-1),""))</f>
        <v/>
      </c>
      <c r="G22" s="18" t="str">
        <f>IF(Tabla4[[#This Row],[Artículo]]="","",IFERROR(_xlfn.XLOOKUP(Tabla4[[#This Row],[Artículo]],Tabla2[Artículo],Tabla2[Proveedor],"",0,-1),""))</f>
        <v/>
      </c>
      <c r="H22" s="12" t="str" cm="1">
        <f t="array" ref="H22">IF(Tabla4[[#This Row],[Artículo]]="","",IFERROR(MIN(_xlfn._xlws.FILTER(Tabla2[Precio Unitario ARS],Tabla2[Artículo]=Tabla4[[#This Row],[Artículo]])),""))</f>
        <v/>
      </c>
      <c r="I22" s="12" t="str" cm="1">
        <f t="array" ref="I22">IF(Tabla4[[#This Row],[Artículo]]="","",IFERROR(_xlfn.XLOOKUP(1,(Tabla2[Artículo]=Tabla4[[#This Row],[Artículo]])*(Tabla2[Precio Unitario ARS]=Tabla4[[#This Row],[Mejor Precio]]),Tabla2[Proveedor]),""))</f>
        <v/>
      </c>
      <c r="J22" s="11" t="str">
        <f>IF(Tabla4[[#This Row],[Artículo]]="","",IFERROR((Tabla4[[#This Row],[Precio Cotizado]]-Tabla4[[#This Row],[Últ. Precio]])/Tabla4[[#This Row],[Últ. Precio]],""))</f>
        <v/>
      </c>
      <c r="K22" s="12" t="str">
        <f>IF(Tabla4[[#This Row],[Artículo]]="","",IFERROR(Tabla4[[#This Row],[Precio Cotizado]]-Tabla4[[#This Row],[Mejor Precio]],""))</f>
        <v/>
      </c>
      <c r="L22" s="13" t="str">
        <f>IF(Tabla4[[#This Row],[Artículo]]="","",IFERROR(Tabla4[[#This Row],[Dif por Unidad]]*Tabla4[[#This Row],[Cantidad]],""))</f>
        <v/>
      </c>
      <c r="M22" s="19" t="str">
        <f t="shared" si="0"/>
        <v>Precio alto</v>
      </c>
      <c r="N22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>🚨 Precio elevado. Negociar o buscar alternativa.</v>
      </c>
    </row>
    <row r="23" spans="1:14" x14ac:dyDescent="0.25">
      <c r="A23" s="14">
        <v>46231</v>
      </c>
      <c r="B23" s="3" t="s">
        <v>219</v>
      </c>
      <c r="E23" s="12">
        <f>28.8*1520</f>
        <v>43776</v>
      </c>
      <c r="F23" s="12" t="str">
        <f>IF(Tabla4[[#This Row],[Artículo]]="","",IFERROR(_xlfn.XLOOKUP(Tabla4[[#This Row],[Artículo]],Tabla2[Artículo],Tabla2[Precio Unitario ARS],"",0,-1),""))</f>
        <v/>
      </c>
      <c r="G23" s="18" t="str">
        <f>IF(Tabla4[[#This Row],[Artículo]]="","",IFERROR(_xlfn.XLOOKUP(Tabla4[[#This Row],[Artículo]],Tabla2[Artículo],Tabla2[Proveedor],"",0,-1),""))</f>
        <v/>
      </c>
      <c r="H23" s="12" t="str" cm="1">
        <f t="array" ref="H23">IF(Tabla4[[#This Row],[Artículo]]="","",IFERROR(MIN(_xlfn._xlws.FILTER(Tabla2[Precio Unitario ARS],Tabla2[Artículo]=Tabla4[[#This Row],[Artículo]])),""))</f>
        <v/>
      </c>
      <c r="I23" s="12" t="str" cm="1">
        <f t="array" ref="I23">IF(Tabla4[[#This Row],[Artículo]]="","",IFERROR(_xlfn.XLOOKUP(1,(Tabla2[Artículo]=Tabla4[[#This Row],[Artículo]])*(Tabla2[Precio Unitario ARS]=Tabla4[[#This Row],[Mejor Precio]]),Tabla2[Proveedor]),""))</f>
        <v/>
      </c>
      <c r="J23" s="11" t="str">
        <f>IF(Tabla4[[#This Row],[Artículo]]="","",IFERROR((Tabla4[[#This Row],[Precio Cotizado]]-Tabla4[[#This Row],[Últ. Precio]])/Tabla4[[#This Row],[Últ. Precio]],""))</f>
        <v/>
      </c>
      <c r="K23" s="12" t="str">
        <f>IF(Tabla4[[#This Row],[Artículo]]="","",IFERROR(Tabla4[[#This Row],[Precio Cotizado]]-Tabla4[[#This Row],[Mejor Precio]],""))</f>
        <v/>
      </c>
      <c r="L23" s="13" t="str">
        <f>IF(Tabla4[[#This Row],[Artículo]]="","",IFERROR(Tabla4[[#This Row],[Dif por Unidad]]*Tabla4[[#This Row],[Cantidad]],""))</f>
        <v/>
      </c>
      <c r="M23" s="19" t="str">
        <f t="shared" si="0"/>
        <v>Precio alto</v>
      </c>
      <c r="N23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>🚨 Precio elevado. Negociar o buscar alternativa.</v>
      </c>
    </row>
    <row r="24" spans="1:14" x14ac:dyDescent="0.25">
      <c r="A24" s="14">
        <v>46231</v>
      </c>
      <c r="B24" s="3" t="s">
        <v>76</v>
      </c>
      <c r="E24" s="12">
        <f>0.5*1520</f>
        <v>760</v>
      </c>
      <c r="F24" s="12">
        <f>IF(Tabla4[[#This Row],[Artículo]]="","",IFERROR(_xlfn.XLOOKUP(Tabla4[[#This Row],[Artículo]],Tabla2[Artículo],Tabla2[Precio Unitario ARS],"",0,-1),""))</f>
        <v>651.15</v>
      </c>
      <c r="G24" s="18" t="str">
        <f>IF(Tabla4[[#This Row],[Artículo]]="","",IFERROR(_xlfn.XLOOKUP(Tabla4[[#This Row],[Artículo]],Tabla2[Artículo],Tabla2[Proveedor],"",0,-1),""))</f>
        <v>Tech Safe</v>
      </c>
      <c r="H24" s="12" cm="1">
        <f t="array" ref="H24">IF(Tabla4[[#This Row],[Artículo]]="","",IFERROR(MIN(_xlfn._xlws.FILTER(Tabla2[Precio Unitario ARS],Tabla2[Artículo]=Tabla4[[#This Row],[Artículo]])),""))</f>
        <v>600</v>
      </c>
      <c r="I24" s="12" t="str" cm="1">
        <f t="array" ref="I24">IF(Tabla4[[#This Row],[Artículo]]="","",IFERROR(_xlfn.XLOOKUP(1,(Tabla2[Artículo]=Tabla4[[#This Row],[Artículo]])*(Tabla2[Precio Unitario ARS]=Tabla4[[#This Row],[Mejor Precio]]),Tabla2[Proveedor]),""))</f>
        <v>Tech Safe</v>
      </c>
      <c r="J24" s="11">
        <f>IF(Tabla4[[#This Row],[Artículo]]="","",IFERROR((Tabla4[[#This Row],[Precio Cotizado]]-Tabla4[[#This Row],[Últ. Precio]])/Tabla4[[#This Row],[Últ. Precio]],""))</f>
        <v>0.16716578361360673</v>
      </c>
      <c r="K24" s="12">
        <f>IF(Tabla4[[#This Row],[Artículo]]="","",IFERROR(Tabla4[[#This Row],[Precio Cotizado]]-Tabla4[[#This Row],[Mejor Precio]],""))</f>
        <v>160</v>
      </c>
      <c r="L24" s="13">
        <f>IF(Tabla4[[#This Row],[Artículo]]="","",IFERROR(Tabla4[[#This Row],[Dif por Unidad]]*Tabla4[[#This Row],[Cantidad]],""))</f>
        <v>0</v>
      </c>
      <c r="M24" s="19" t="str">
        <f t="shared" si="0"/>
        <v>Precio alto</v>
      </c>
      <c r="N24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>🚨 Precio elevado. Negociar o buscar alternativa.</v>
      </c>
    </row>
    <row r="25" spans="1:14" x14ac:dyDescent="0.25">
      <c r="A25" s="14">
        <v>46231</v>
      </c>
      <c r="B25" s="3" t="s">
        <v>77</v>
      </c>
      <c r="E25" s="12">
        <f>0.5*1520</f>
        <v>760</v>
      </c>
      <c r="F25" s="12">
        <f>IF(Tabla4[[#This Row],[Artículo]]="","",IFERROR(_xlfn.XLOOKUP(Tabla4[[#This Row],[Artículo]],Tabla2[Artículo],Tabla2[Precio Unitario ARS],"",0,-1),""))</f>
        <v>651.15</v>
      </c>
      <c r="G25" s="18" t="str">
        <f>IF(Tabla4[[#This Row],[Artículo]]="","",IFERROR(_xlfn.XLOOKUP(Tabla4[[#This Row],[Artículo]],Tabla2[Artículo],Tabla2[Proveedor],"",0,-1),""))</f>
        <v>Tech Safe</v>
      </c>
      <c r="H25" s="12" cm="1">
        <f t="array" ref="H25">IF(Tabla4[[#This Row],[Artículo]]="","",IFERROR(MIN(_xlfn._xlws.FILTER(Tabla2[Precio Unitario ARS],Tabla2[Artículo]=Tabla4[[#This Row],[Artículo]])),""))</f>
        <v>600</v>
      </c>
      <c r="I25" s="12" t="str" cm="1">
        <f t="array" ref="I25">IF(Tabla4[[#This Row],[Artículo]]="","",IFERROR(_xlfn.XLOOKUP(1,(Tabla2[Artículo]=Tabla4[[#This Row],[Artículo]])*(Tabla2[Precio Unitario ARS]=Tabla4[[#This Row],[Mejor Precio]]),Tabla2[Proveedor]),""))</f>
        <v>Tech Safe</v>
      </c>
      <c r="J25" s="11">
        <f>IF(Tabla4[[#This Row],[Artículo]]="","",IFERROR((Tabla4[[#This Row],[Precio Cotizado]]-Tabla4[[#This Row],[Últ. Precio]])/Tabla4[[#This Row],[Últ. Precio]],""))</f>
        <v>0.16716578361360673</v>
      </c>
      <c r="K25" s="12">
        <f>IF(Tabla4[[#This Row],[Artículo]]="","",IFERROR(Tabla4[[#This Row],[Precio Cotizado]]-Tabla4[[#This Row],[Mejor Precio]],""))</f>
        <v>160</v>
      </c>
      <c r="L25" s="13">
        <f>IF(Tabla4[[#This Row],[Artículo]]="","",IFERROR(Tabla4[[#This Row],[Dif por Unidad]]*Tabla4[[#This Row],[Cantidad]],""))</f>
        <v>0</v>
      </c>
      <c r="M25" s="19" t="str">
        <f t="shared" si="0"/>
        <v>Precio alto</v>
      </c>
      <c r="N25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>🚨 Precio elevado. Negociar o buscar alternativa.</v>
      </c>
    </row>
    <row r="26" spans="1:14" x14ac:dyDescent="0.25">
      <c r="A26" s="14">
        <v>46231</v>
      </c>
      <c r="B26" s="3" t="s">
        <v>75</v>
      </c>
      <c r="E26" s="12">
        <f>3.22*1520</f>
        <v>4894.4000000000005</v>
      </c>
      <c r="F26" s="12">
        <f>IF(Tabla4[[#This Row],[Artículo]]="","",IFERROR(_xlfn.XLOOKUP(Tabla4[[#This Row],[Artículo]],Tabla2[Artículo],Tabla2[Precio Unitario ARS],"",0,-1),""))</f>
        <v>4482</v>
      </c>
      <c r="G26" s="18" t="str">
        <f>IF(Tabla4[[#This Row],[Artículo]]="","",IFERROR(_xlfn.XLOOKUP(Tabla4[[#This Row],[Artículo]],Tabla2[Artículo],Tabla2[Proveedor],"",0,-1),""))</f>
        <v>Tech Safe</v>
      </c>
      <c r="H26" s="12" cm="1">
        <f t="array" ref="H26">IF(Tabla4[[#This Row],[Artículo]]="","",IFERROR(MIN(_xlfn._xlws.FILTER(Tabla2[Precio Unitario ARS],Tabla2[Artículo]=Tabla4[[#This Row],[Artículo]])),""))</f>
        <v>4147</v>
      </c>
      <c r="I26" s="12" t="str" cm="1">
        <f t="array" ref="I26">IF(Tabla4[[#This Row],[Artículo]]="","",IFERROR(_xlfn.XLOOKUP(1,(Tabla2[Artículo]=Tabla4[[#This Row],[Artículo]])*(Tabla2[Precio Unitario ARS]=Tabla4[[#This Row],[Mejor Precio]]),Tabla2[Proveedor]),""))</f>
        <v>Roguant</v>
      </c>
      <c r="J26" s="11">
        <f>IF(Tabla4[[#This Row],[Artículo]]="","",IFERROR((Tabla4[[#This Row],[Precio Cotizado]]-Tabla4[[#This Row],[Últ. Precio]])/Tabla4[[#This Row],[Últ. Precio]],""))</f>
        <v>9.2012494422133093E-2</v>
      </c>
      <c r="K26" s="12">
        <f>IF(Tabla4[[#This Row],[Artículo]]="","",IFERROR(Tabla4[[#This Row],[Precio Cotizado]]-Tabla4[[#This Row],[Mejor Precio]],""))</f>
        <v>747.40000000000055</v>
      </c>
      <c r="L26" s="13">
        <f>IF(Tabla4[[#This Row],[Artículo]]="","",IFERROR(Tabla4[[#This Row],[Dif por Unidad]]*Tabla4[[#This Row],[Cantidad]],""))</f>
        <v>0</v>
      </c>
      <c r="M26" s="19" t="str">
        <f t="shared" si="0"/>
        <v>Revisar</v>
      </c>
      <c r="N26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>⚠ Solicitar otra cotización.</v>
      </c>
    </row>
    <row r="27" spans="1:14" x14ac:dyDescent="0.25">
      <c r="B27" s="3" t="s">
        <v>271</v>
      </c>
      <c r="E27" s="12">
        <v>3840.7</v>
      </c>
      <c r="F27" s="12" t="str">
        <f>IF(Tabla4[[#This Row],[Artículo]]="","",IFERROR(_xlfn.XLOOKUP(Tabla4[[#This Row],[Artículo]],Tabla2[Artículo],Tabla2[Precio Unitario ARS],"",0,-1),""))</f>
        <v/>
      </c>
      <c r="G27" s="18" t="str">
        <f>IF(Tabla4[[#This Row],[Artículo]]="","",IFERROR(_xlfn.XLOOKUP(Tabla4[[#This Row],[Artículo]],Tabla2[Artículo],Tabla2[Proveedor],"",0,-1),""))</f>
        <v/>
      </c>
      <c r="H27" s="12" t="str" cm="1">
        <f t="array" ref="H27">IF(Tabla4[[#This Row],[Artículo]]="","",IFERROR(MIN(_xlfn._xlws.FILTER(Tabla2[Precio Unitario ARS],Tabla2[Artículo]=Tabla4[[#This Row],[Artículo]])),""))</f>
        <v/>
      </c>
      <c r="I27" s="12" t="str" cm="1">
        <f t="array" ref="I27">IF(Tabla4[[#This Row],[Artículo]]="","",IFERROR(_xlfn.XLOOKUP(1,(Tabla2[Artículo]=Tabla4[[#This Row],[Artículo]])*(Tabla2[Precio Unitario ARS]=Tabla4[[#This Row],[Mejor Precio]]),Tabla2[Proveedor]),""))</f>
        <v/>
      </c>
      <c r="J27" s="11" t="str">
        <f>IF(Tabla4[[#This Row],[Artículo]]="","",IFERROR((Tabla4[[#This Row],[Precio Cotizado]]-Tabla4[[#This Row],[Últ. Precio]])/Tabla4[[#This Row],[Últ. Precio]],""))</f>
        <v/>
      </c>
      <c r="K27" s="12" t="str">
        <f>IF(Tabla4[[#This Row],[Artículo]]="","",IFERROR(Tabla4[[#This Row],[Precio Cotizado]]-Tabla4[[#This Row],[Mejor Precio]],""))</f>
        <v/>
      </c>
      <c r="L27" s="13" t="str">
        <f>IF(Tabla4[[#This Row],[Artículo]]="","",IFERROR(Tabla4[[#This Row],[Dif por Unidad]]*Tabla4[[#This Row],[Cantidad]],""))</f>
        <v/>
      </c>
      <c r="M27" s="19" t="str">
        <f t="shared" si="0"/>
        <v>Precio alto</v>
      </c>
      <c r="N27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>🚨 Precio elevado. Negociar o buscar alternativa.</v>
      </c>
    </row>
    <row r="28" spans="1:14" x14ac:dyDescent="0.25">
      <c r="B28" s="3" t="s">
        <v>140</v>
      </c>
      <c r="E28" s="12">
        <v>4450</v>
      </c>
      <c r="F28" s="12">
        <f>IF(Tabla4[[#This Row],[Artículo]]="","",IFERROR(_xlfn.XLOOKUP(Tabla4[[#This Row],[Artículo]],Tabla2[Artículo],Tabla2[Precio Unitario ARS],"",0,-1),""))</f>
        <v>4800</v>
      </c>
      <c r="G28" s="18" t="str">
        <f>IF(Tabla4[[#This Row],[Artículo]]="","",IFERROR(_xlfn.XLOOKUP(Tabla4[[#This Row],[Artículo]],Tabla2[Artículo],Tabla2[Proveedor],"",0,-1),""))</f>
        <v>Disur</v>
      </c>
      <c r="H28" s="12" cm="1">
        <f t="array" ref="H28">IF(Tabla4[[#This Row],[Artículo]]="","",IFERROR(MIN(_xlfn._xlws.FILTER(Tabla2[Precio Unitario ARS],Tabla2[Artículo]=Tabla4[[#This Row],[Artículo]])),""))</f>
        <v>4800</v>
      </c>
      <c r="I28" s="12" t="str" cm="1">
        <f t="array" ref="I28">IF(Tabla4[[#This Row],[Artículo]]="","",IFERROR(_xlfn.XLOOKUP(1,(Tabla2[Artículo]=Tabla4[[#This Row],[Artículo]])*(Tabla2[Precio Unitario ARS]=Tabla4[[#This Row],[Mejor Precio]]),Tabla2[Proveedor]),""))</f>
        <v>Disur</v>
      </c>
      <c r="J28" s="11">
        <f>IF(Tabla4[[#This Row],[Artículo]]="","",IFERROR((Tabla4[[#This Row],[Precio Cotizado]]-Tabla4[[#This Row],[Últ. Precio]])/Tabla4[[#This Row],[Últ. Precio]],""))</f>
        <v>-7.2916666666666671E-2</v>
      </c>
      <c r="K28" s="12">
        <f>IF(Tabla4[[#This Row],[Artículo]]="","",IFERROR(Tabla4[[#This Row],[Precio Cotizado]]-Tabla4[[#This Row],[Mejor Precio]],""))</f>
        <v>-350</v>
      </c>
      <c r="L28" s="13">
        <f>IF(Tabla4[[#This Row],[Artículo]]="","",IFERROR(Tabla4[[#This Row],[Dif por Unidad]]*Tabla4[[#This Row],[Cantidad]],""))</f>
        <v>0</v>
      </c>
      <c r="M28" s="19" t="str">
        <f t="shared" si="0"/>
        <v>Más barato</v>
      </c>
      <c r="N28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>✓ Conviene comprar. Ahorro respecto al mejor precio.</v>
      </c>
    </row>
    <row r="29" spans="1:14" x14ac:dyDescent="0.25">
      <c r="B29" s="3" t="s">
        <v>168</v>
      </c>
      <c r="E29" s="12">
        <v>4020</v>
      </c>
      <c r="F29" s="12">
        <f>IF(Tabla4[[#This Row],[Artículo]]="","",IFERROR(_xlfn.XLOOKUP(Tabla4[[#This Row],[Artículo]],Tabla2[Artículo],Tabla2[Precio Unitario ARS],"",0,-1),""))</f>
        <v>4185</v>
      </c>
      <c r="G29" s="18" t="str">
        <f>IF(Tabla4[[#This Row],[Artículo]]="","",IFERROR(_xlfn.XLOOKUP(Tabla4[[#This Row],[Artículo]],Tabla2[Artículo],Tabla2[Proveedor],"",0,-1),""))</f>
        <v>Disur</v>
      </c>
      <c r="H29" s="12" cm="1">
        <f t="array" ref="H29">IF(Tabla4[[#This Row],[Artículo]]="","",IFERROR(MIN(_xlfn._xlws.FILTER(Tabla2[Precio Unitario ARS],Tabla2[Artículo]=Tabla4[[#This Row],[Artículo]])),""))</f>
        <v>4185</v>
      </c>
      <c r="I29" s="12" t="str" cm="1">
        <f t="array" ref="I29">IF(Tabla4[[#This Row],[Artículo]]="","",IFERROR(_xlfn.XLOOKUP(1,(Tabla2[Artículo]=Tabla4[[#This Row],[Artículo]])*(Tabla2[Precio Unitario ARS]=Tabla4[[#This Row],[Mejor Precio]]),Tabla2[Proveedor]),""))</f>
        <v>Disur</v>
      </c>
      <c r="J29" s="11">
        <f>IF(Tabla4[[#This Row],[Artículo]]="","",IFERROR((Tabla4[[#This Row],[Precio Cotizado]]-Tabla4[[#This Row],[Últ. Precio]])/Tabla4[[#This Row],[Últ. Precio]],""))</f>
        <v>-3.9426523297491037E-2</v>
      </c>
      <c r="K29" s="12">
        <f>IF(Tabla4[[#This Row],[Artículo]]="","",IFERROR(Tabla4[[#This Row],[Precio Cotizado]]-Tabla4[[#This Row],[Mejor Precio]],""))</f>
        <v>-165</v>
      </c>
      <c r="L29" s="13">
        <f>IF(Tabla4[[#This Row],[Artículo]]="","",IFERROR(Tabla4[[#This Row],[Dif por Unidad]]*Tabla4[[#This Row],[Cantidad]],""))</f>
        <v>0</v>
      </c>
      <c r="M29" s="19" t="str">
        <f t="shared" si="0"/>
        <v>Más barato</v>
      </c>
      <c r="N29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>✓ Conviene comprar. Ahorro respecto al mejor precio.</v>
      </c>
    </row>
    <row r="30" spans="1:14" x14ac:dyDescent="0.25">
      <c r="B30" s="3" t="s">
        <v>141</v>
      </c>
      <c r="E30" s="12">
        <v>4550.8999999999996</v>
      </c>
      <c r="F30" s="12">
        <f>IF(Tabla4[[#This Row],[Artículo]]="","",IFERROR(_xlfn.XLOOKUP(Tabla4[[#This Row],[Artículo]],Tabla2[Artículo],Tabla2[Precio Unitario ARS],"",0,-1),""))</f>
        <v>4890</v>
      </c>
      <c r="G30" s="18" t="str">
        <f>IF(Tabla4[[#This Row],[Artículo]]="","",IFERROR(_xlfn.XLOOKUP(Tabla4[[#This Row],[Artículo]],Tabla2[Artículo],Tabla2[Proveedor],"",0,-1),""))</f>
        <v>Disur</v>
      </c>
      <c r="H30" s="12" cm="1">
        <f t="array" ref="H30">IF(Tabla4[[#This Row],[Artículo]]="","",IFERROR(MIN(_xlfn._xlws.FILTER(Tabla2[Precio Unitario ARS],Tabla2[Artículo]=Tabla4[[#This Row],[Artículo]])),""))</f>
        <v>4890</v>
      </c>
      <c r="I30" s="12" t="str" cm="1">
        <f t="array" ref="I30">IF(Tabla4[[#This Row],[Artículo]]="","",IFERROR(_xlfn.XLOOKUP(1,(Tabla2[Artículo]=Tabla4[[#This Row],[Artículo]])*(Tabla2[Precio Unitario ARS]=Tabla4[[#This Row],[Mejor Precio]]),Tabla2[Proveedor]),""))</f>
        <v>Disur</v>
      </c>
      <c r="J30" s="11">
        <f>IF(Tabla4[[#This Row],[Artículo]]="","",IFERROR((Tabla4[[#This Row],[Precio Cotizado]]-Tabla4[[#This Row],[Últ. Precio]])/Tabla4[[#This Row],[Últ. Precio]],""))</f>
        <v>-6.9345603271983719E-2</v>
      </c>
      <c r="K30" s="12">
        <f>IF(Tabla4[[#This Row],[Artículo]]="","",IFERROR(Tabla4[[#This Row],[Precio Cotizado]]-Tabla4[[#This Row],[Mejor Precio]],""))</f>
        <v>-339.10000000000036</v>
      </c>
      <c r="L30" s="13">
        <f>IF(Tabla4[[#This Row],[Artículo]]="","",IFERROR(Tabla4[[#This Row],[Dif por Unidad]]*Tabla4[[#This Row],[Cantidad]],""))</f>
        <v>0</v>
      </c>
      <c r="M30" s="19" t="str">
        <f t="shared" si="0"/>
        <v>Más barato</v>
      </c>
      <c r="N30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>✓ Conviene comprar. Ahorro respecto al mejor precio.</v>
      </c>
    </row>
    <row r="31" spans="1:14" x14ac:dyDescent="0.25">
      <c r="B31" s="3" t="s">
        <v>285</v>
      </c>
      <c r="E31" s="12">
        <v>17</v>
      </c>
      <c r="F31" s="12" t="str">
        <f>IF(Tabla4[[#This Row],[Artículo]]="","",IFERROR(_xlfn.XLOOKUP(Tabla4[[#This Row],[Artículo]],Tabla2[Artículo],Tabla2[Precio Unitario ARS],"",0,-1),""))</f>
        <v/>
      </c>
      <c r="G31" s="18" t="str">
        <f>IF(Tabla4[[#This Row],[Artículo]]="","",IFERROR(_xlfn.XLOOKUP(Tabla4[[#This Row],[Artículo]],Tabla2[Artículo],Tabla2[Proveedor],"",0,-1),""))</f>
        <v/>
      </c>
      <c r="H31" s="12" t="str" cm="1">
        <f t="array" ref="H31">IF(Tabla4[[#This Row],[Artículo]]="","",IFERROR(MIN(_xlfn._xlws.FILTER(Tabla2[Precio Unitario ARS],Tabla2[Artículo]=Tabla4[[#This Row],[Artículo]])),""))</f>
        <v/>
      </c>
      <c r="I31" s="12" t="str" cm="1">
        <f t="array" ref="I31">IF(Tabla4[[#This Row],[Artículo]]="","",IFERROR(_xlfn.XLOOKUP(1,(Tabla2[Artículo]=Tabla4[[#This Row],[Artículo]])*(Tabla2[Precio Unitario ARS]=Tabla4[[#This Row],[Mejor Precio]]),Tabla2[Proveedor]),""))</f>
        <v/>
      </c>
      <c r="J31" s="11" t="str">
        <f>IF(Tabla4[[#This Row],[Artículo]]="","",IFERROR((Tabla4[[#This Row],[Precio Cotizado]]-Tabla4[[#This Row],[Últ. Precio]])/Tabla4[[#This Row],[Últ. Precio]],""))</f>
        <v/>
      </c>
      <c r="K31" s="12" t="str">
        <f>IF(Tabla4[[#This Row],[Artículo]]="","",IFERROR(Tabla4[[#This Row],[Precio Cotizado]]-Tabla4[[#This Row],[Mejor Precio]],""))</f>
        <v/>
      </c>
      <c r="L31" s="13" t="str">
        <f>IF(Tabla4[[#This Row],[Artículo]]="","",IFERROR(Tabla4[[#This Row],[Dif por Unidad]]*Tabla4[[#This Row],[Cantidad]],""))</f>
        <v/>
      </c>
      <c r="M31" s="19" t="str">
        <f t="shared" si="0"/>
        <v>Precio alto</v>
      </c>
      <c r="N31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>🚨 Precio elevado. Negociar o buscar alternativa.</v>
      </c>
    </row>
    <row r="32" spans="1:14" x14ac:dyDescent="0.25">
      <c r="B32" s="3" t="s">
        <v>283</v>
      </c>
      <c r="E32" s="12">
        <v>60</v>
      </c>
      <c r="F32" s="12" t="str">
        <f>IF(Tabla4[[#This Row],[Artículo]]="","",IFERROR(_xlfn.XLOOKUP(Tabla4[[#This Row],[Artículo]],Tabla2[Artículo],Tabla2[Precio Unitario ARS],"",0,-1),""))</f>
        <v/>
      </c>
      <c r="G32" s="18" t="str">
        <f>IF(Tabla4[[#This Row],[Artículo]]="","",IFERROR(_xlfn.XLOOKUP(Tabla4[[#This Row],[Artículo]],Tabla2[Artículo],Tabla2[Proveedor],"",0,-1),""))</f>
        <v/>
      </c>
      <c r="H32" s="12" t="str" cm="1">
        <f t="array" ref="H32">IF(Tabla4[[#This Row],[Artículo]]="","",IFERROR(MIN(_xlfn._xlws.FILTER(Tabla2[Precio Unitario ARS],Tabla2[Artículo]=Tabla4[[#This Row],[Artículo]])),""))</f>
        <v/>
      </c>
      <c r="I32" s="12" t="str" cm="1">
        <f t="array" ref="I32">IF(Tabla4[[#This Row],[Artículo]]="","",IFERROR(_xlfn.XLOOKUP(1,(Tabla2[Artículo]=Tabla4[[#This Row],[Artículo]])*(Tabla2[Precio Unitario ARS]=Tabla4[[#This Row],[Mejor Precio]]),Tabla2[Proveedor]),""))</f>
        <v/>
      </c>
      <c r="J32" s="11" t="str">
        <f>IF(Tabla4[[#This Row],[Artículo]]="","",IFERROR((Tabla4[[#This Row],[Precio Cotizado]]-Tabla4[[#This Row],[Últ. Precio]])/Tabla4[[#This Row],[Últ. Precio]],""))</f>
        <v/>
      </c>
      <c r="K32" s="12" t="str">
        <f>IF(Tabla4[[#This Row],[Artículo]]="","",IFERROR(Tabla4[[#This Row],[Precio Cotizado]]-Tabla4[[#This Row],[Mejor Precio]],""))</f>
        <v/>
      </c>
      <c r="L32" s="13" t="str">
        <f>IF(Tabla4[[#This Row],[Artículo]]="","",IFERROR(Tabla4[[#This Row],[Dif por Unidad]]*Tabla4[[#This Row],[Cantidad]],""))</f>
        <v/>
      </c>
      <c r="M32" s="19" t="str">
        <f t="shared" si="0"/>
        <v>Precio alto</v>
      </c>
      <c r="N32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>🚨 Precio elevado. Negociar o buscar alternativa.</v>
      </c>
    </row>
    <row r="33" spans="2:14" x14ac:dyDescent="0.25">
      <c r="B33" s="3" t="s">
        <v>169</v>
      </c>
      <c r="E33" s="12">
        <v>11.7</v>
      </c>
      <c r="F33" s="12">
        <f>IF(Tabla4[[#This Row],[Artículo]]="","",IFERROR(_xlfn.XLOOKUP(Tabla4[[#This Row],[Artículo]],Tabla2[Artículo],Tabla2[Precio Unitario ARS],"",0,-1),""))</f>
        <v>12.5</v>
      </c>
      <c r="G33" s="18" t="str">
        <f>IF(Tabla4[[#This Row],[Artículo]]="","",IFERROR(_xlfn.XLOOKUP(Tabla4[[#This Row],[Artículo]],Tabla2[Artículo],Tabla2[Proveedor],"",0,-1),""))</f>
        <v>Disur</v>
      </c>
      <c r="H33" s="12" cm="1">
        <f t="array" ref="H33">IF(Tabla4[[#This Row],[Artículo]]="","",IFERROR(MIN(_xlfn._xlws.FILTER(Tabla2[Precio Unitario ARS],Tabla2[Artículo]=Tabla4[[#This Row],[Artículo]])),""))</f>
        <v>12.5</v>
      </c>
      <c r="I33" s="12" t="str" cm="1">
        <f t="array" ref="I33">IF(Tabla4[[#This Row],[Artículo]]="","",IFERROR(_xlfn.XLOOKUP(1,(Tabla2[Artículo]=Tabla4[[#This Row],[Artículo]])*(Tabla2[Precio Unitario ARS]=Tabla4[[#This Row],[Mejor Precio]]),Tabla2[Proveedor]),""))</f>
        <v>Disur</v>
      </c>
      <c r="J33" s="11">
        <f>IF(Tabla4[[#This Row],[Artículo]]="","",IFERROR((Tabla4[[#This Row],[Precio Cotizado]]-Tabla4[[#This Row],[Últ. Precio]])/Tabla4[[#This Row],[Últ. Precio]],""))</f>
        <v>-6.4000000000000057E-2</v>
      </c>
      <c r="K33" s="12">
        <f>IF(Tabla4[[#This Row],[Artículo]]="","",IFERROR(Tabla4[[#This Row],[Precio Cotizado]]-Tabla4[[#This Row],[Mejor Precio]],""))</f>
        <v>-0.80000000000000071</v>
      </c>
      <c r="L33" s="13">
        <f>IF(Tabla4[[#This Row],[Artículo]]="","",IFERROR(Tabla4[[#This Row],[Dif por Unidad]]*Tabla4[[#This Row],[Cantidad]],""))</f>
        <v>0</v>
      </c>
      <c r="M33" s="19" t="str">
        <f t="shared" si="0"/>
        <v>Más barato</v>
      </c>
      <c r="N33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>✓ Conviene comprar. Ahorro respecto al mejor precio.</v>
      </c>
    </row>
    <row r="34" spans="2:14" x14ac:dyDescent="0.25">
      <c r="B34" s="3" t="s">
        <v>170</v>
      </c>
      <c r="E34" s="12">
        <v>24.7</v>
      </c>
      <c r="F34" s="12">
        <f>IF(Tabla4[[#This Row],[Artículo]]="","",IFERROR(_xlfn.XLOOKUP(Tabla4[[#This Row],[Artículo]],Tabla2[Artículo],Tabla2[Precio Unitario ARS],"",0,-1),""))</f>
        <v>26</v>
      </c>
      <c r="G34" s="18" t="str">
        <f>IF(Tabla4[[#This Row],[Artículo]]="","",IFERROR(_xlfn.XLOOKUP(Tabla4[[#This Row],[Artículo]],Tabla2[Artículo],Tabla2[Proveedor],"",0,-1),""))</f>
        <v>Disur</v>
      </c>
      <c r="H34" s="12" cm="1">
        <f t="array" ref="H34">IF(Tabla4[[#This Row],[Artículo]]="","",IFERROR(MIN(_xlfn._xlws.FILTER(Tabla2[Precio Unitario ARS],Tabla2[Artículo]=Tabla4[[#This Row],[Artículo]])),""))</f>
        <v>26</v>
      </c>
      <c r="I34" s="12" t="str" cm="1">
        <f t="array" ref="I34">IF(Tabla4[[#This Row],[Artículo]]="","",IFERROR(_xlfn.XLOOKUP(1,(Tabla2[Artículo]=Tabla4[[#This Row],[Artículo]])*(Tabla2[Precio Unitario ARS]=Tabla4[[#This Row],[Mejor Precio]]),Tabla2[Proveedor]),""))</f>
        <v>Disur</v>
      </c>
      <c r="J34" s="11">
        <f>IF(Tabla4[[#This Row],[Artículo]]="","",IFERROR((Tabla4[[#This Row],[Precio Cotizado]]-Tabla4[[#This Row],[Últ. Precio]])/Tabla4[[#This Row],[Últ. Precio]],""))</f>
        <v>-5.0000000000000031E-2</v>
      </c>
      <c r="K34" s="12">
        <f>IF(Tabla4[[#This Row],[Artículo]]="","",IFERROR(Tabla4[[#This Row],[Precio Cotizado]]-Tabla4[[#This Row],[Mejor Precio]],""))</f>
        <v>-1.3000000000000007</v>
      </c>
      <c r="L34" s="13">
        <f>IF(Tabla4[[#This Row],[Artículo]]="","",IFERROR(Tabla4[[#This Row],[Dif por Unidad]]*Tabla4[[#This Row],[Cantidad]],""))</f>
        <v>0</v>
      </c>
      <c r="M34" s="19" t="str">
        <f t="shared" ref="M34:M65" si="1">IF(B34="","",IF(J34&lt;0,"Más barato",IF(J34&lt;=5%,"Dentro del rango",IF(J34&lt;=15%,"Revisar","Precio alto"))))</f>
        <v>Más barato</v>
      </c>
      <c r="N34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>✓ Conviene comprar. Ahorro respecto al mejor precio.</v>
      </c>
    </row>
    <row r="35" spans="2:14" x14ac:dyDescent="0.25">
      <c r="B35" s="3" t="s">
        <v>171</v>
      </c>
      <c r="E35" s="12">
        <v>17.18</v>
      </c>
      <c r="F35" s="12">
        <f>IF(Tabla4[[#This Row],[Artículo]]="","",IFERROR(_xlfn.XLOOKUP(Tabla4[[#This Row],[Artículo]],Tabla2[Artículo],Tabla2[Precio Unitario ARS],"",0,-1),""))</f>
        <v>18.600000000000001</v>
      </c>
      <c r="G35" s="18" t="str">
        <f>IF(Tabla4[[#This Row],[Artículo]]="","",IFERROR(_xlfn.XLOOKUP(Tabla4[[#This Row],[Artículo]],Tabla2[Artículo],Tabla2[Proveedor],"",0,-1),""))</f>
        <v>Disur</v>
      </c>
      <c r="H35" s="12" cm="1">
        <f t="array" ref="H35">IF(Tabla4[[#This Row],[Artículo]]="","",IFERROR(MIN(_xlfn._xlws.FILTER(Tabla2[Precio Unitario ARS],Tabla2[Artículo]=Tabla4[[#This Row],[Artículo]])),""))</f>
        <v>18.600000000000001</v>
      </c>
      <c r="I35" s="12" t="str" cm="1">
        <f t="array" ref="I35">IF(Tabla4[[#This Row],[Artículo]]="","",IFERROR(_xlfn.XLOOKUP(1,(Tabla2[Artículo]=Tabla4[[#This Row],[Artículo]])*(Tabla2[Precio Unitario ARS]=Tabla4[[#This Row],[Mejor Precio]]),Tabla2[Proveedor]),""))</f>
        <v>Disur</v>
      </c>
      <c r="J35" s="11">
        <f>IF(Tabla4[[#This Row],[Artículo]]="","",IFERROR((Tabla4[[#This Row],[Precio Cotizado]]-Tabla4[[#This Row],[Últ. Precio]])/Tabla4[[#This Row],[Últ. Precio]],""))</f>
        <v>-7.6344086021505456E-2</v>
      </c>
      <c r="K35" s="12">
        <f>IF(Tabla4[[#This Row],[Artículo]]="","",IFERROR(Tabla4[[#This Row],[Precio Cotizado]]-Tabla4[[#This Row],[Mejor Precio]],""))</f>
        <v>-1.4200000000000017</v>
      </c>
      <c r="L35" s="13">
        <f>IF(Tabla4[[#This Row],[Artículo]]="","",IFERROR(Tabla4[[#This Row],[Dif por Unidad]]*Tabla4[[#This Row],[Cantidad]],""))</f>
        <v>0</v>
      </c>
      <c r="M35" s="19" t="str">
        <f t="shared" si="1"/>
        <v>Más barato</v>
      </c>
      <c r="N35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>✓ Conviene comprar. Ahorro respecto al mejor precio.</v>
      </c>
    </row>
    <row r="36" spans="2:14" x14ac:dyDescent="0.25">
      <c r="B36" s="3" t="s">
        <v>152</v>
      </c>
      <c r="E36" s="12">
        <v>449</v>
      </c>
      <c r="F36" s="12">
        <f>IF(Tabla4[[#This Row],[Artículo]]="","",IFERROR(_xlfn.XLOOKUP(Tabla4[[#This Row],[Artículo]],Tabla2[Artículo],Tabla2[Precio Unitario ARS],"",0,-1),""))</f>
        <v>463.05</v>
      </c>
      <c r="G36" s="18" t="str">
        <f>IF(Tabla4[[#This Row],[Artículo]]="","",IFERROR(_xlfn.XLOOKUP(Tabla4[[#This Row],[Artículo]],Tabla2[Artículo],Tabla2[Proveedor],"",0,-1),""))</f>
        <v>Dusvar</v>
      </c>
      <c r="H36" s="12" cm="1">
        <f t="array" ref="H36">IF(Tabla4[[#This Row],[Artículo]]="","",IFERROR(MIN(_xlfn._xlws.FILTER(Tabla2[Precio Unitario ARS],Tabla2[Artículo]=Tabla4[[#This Row],[Artículo]])),""))</f>
        <v>450</v>
      </c>
      <c r="I36" s="12" t="str" cm="1">
        <f t="array" ref="I36">IF(Tabla4[[#This Row],[Artículo]]="","",IFERROR(_xlfn.XLOOKUP(1,(Tabla2[Artículo]=Tabla4[[#This Row],[Artículo]])*(Tabla2[Precio Unitario ARS]=Tabla4[[#This Row],[Mejor Precio]]),Tabla2[Proveedor]),""))</f>
        <v>Dusvar</v>
      </c>
      <c r="J36" s="11">
        <f>IF(Tabla4[[#This Row],[Artículo]]="","",IFERROR((Tabla4[[#This Row],[Precio Cotizado]]-Tabla4[[#This Row],[Últ. Precio]])/Tabla4[[#This Row],[Últ. Precio]],""))</f>
        <v>-3.034229564841812E-2</v>
      </c>
      <c r="K36" s="12">
        <f>IF(Tabla4[[#This Row],[Artículo]]="","",IFERROR(Tabla4[[#This Row],[Precio Cotizado]]-Tabla4[[#This Row],[Mejor Precio]],""))</f>
        <v>-1</v>
      </c>
      <c r="L36" s="13">
        <f>IF(Tabla4[[#This Row],[Artículo]]="","",IFERROR(Tabla4[[#This Row],[Dif por Unidad]]*Tabla4[[#This Row],[Cantidad]],""))</f>
        <v>0</v>
      </c>
      <c r="M36" s="19" t="str">
        <f t="shared" si="1"/>
        <v>Más barato</v>
      </c>
      <c r="N36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>✓ Conviene comprar. Ahorro respecto al mejor precio.</v>
      </c>
    </row>
    <row r="37" spans="2:14" x14ac:dyDescent="0.25">
      <c r="B37"/>
      <c r="E37" s="45"/>
      <c r="F37" s="12" t="str">
        <f>IF(Tabla4[[#This Row],[Artículo]]="","",IFERROR(_xlfn.XLOOKUP(Tabla4[[#This Row],[Artículo]],Tabla2[Artículo],Tabla2[Precio Unitario ARS],"",0,-1),""))</f>
        <v/>
      </c>
      <c r="G37" s="18" t="str">
        <f>IF(Tabla4[[#This Row],[Artículo]]="","",IFERROR(_xlfn.XLOOKUP(Tabla4[[#This Row],[Artículo]],Tabla2[Artículo],Tabla2[Proveedor],"",0,-1),""))</f>
        <v/>
      </c>
      <c r="H37" s="12" t="str" cm="1">
        <f t="array" ref="H37">IF(Tabla4[[#This Row],[Artículo]]="","",IFERROR(MIN(_xlfn._xlws.FILTER(Tabla2[Precio Unitario ARS],Tabla2[Artículo]=Tabla4[[#This Row],[Artículo]])),""))</f>
        <v/>
      </c>
      <c r="I37" s="12" t="str" cm="1">
        <f t="array" ref="I37">IF(Tabla4[[#This Row],[Artículo]]="","",IFERROR(_xlfn.XLOOKUP(1,(Tabla2[Artículo]=Tabla4[[#This Row],[Artículo]])*(Tabla2[Precio Unitario ARS]=Tabla4[[#This Row],[Mejor Precio]]),Tabla2[Proveedor]),""))</f>
        <v/>
      </c>
      <c r="J37" s="11" t="str">
        <f>IF(Tabla4[[#This Row],[Artículo]]="","",IFERROR((Tabla4[[#This Row],[Precio Cotizado]]-Tabla4[[#This Row],[Últ. Precio]])/Tabla4[[#This Row],[Últ. Precio]],""))</f>
        <v/>
      </c>
      <c r="K37" s="12" t="str">
        <f>IF(Tabla4[[#This Row],[Artículo]]="","",IFERROR(Tabla4[[#This Row],[Precio Cotizado]]-Tabla4[[#This Row],[Mejor Precio]],""))</f>
        <v/>
      </c>
      <c r="L37" s="13" t="str">
        <f>IF(Tabla4[[#This Row],[Artículo]]="","",IFERROR(Tabla4[[#This Row],[Dif por Unidad]]*Tabla4[[#This Row],[Cantidad]],""))</f>
        <v/>
      </c>
      <c r="M37" s="19" t="str">
        <f t="shared" si="1"/>
        <v/>
      </c>
      <c r="N37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38" spans="2:14" x14ac:dyDescent="0.25">
      <c r="B38"/>
      <c r="E38" s="45"/>
      <c r="F38" s="12" t="str">
        <f>IF(Tabla4[[#This Row],[Artículo]]="","",IFERROR(_xlfn.XLOOKUP(Tabla4[[#This Row],[Artículo]],Tabla2[Artículo],Tabla2[Precio Unitario ARS],"",0,-1),""))</f>
        <v/>
      </c>
      <c r="G38" s="18" t="str">
        <f>IF(Tabla4[[#This Row],[Artículo]]="","",IFERROR(_xlfn.XLOOKUP(Tabla4[[#This Row],[Artículo]],Tabla2[Artículo],Tabla2[Proveedor],"",0,-1),""))</f>
        <v/>
      </c>
      <c r="H38" s="12" t="str" cm="1">
        <f t="array" ref="H38">IF(Tabla4[[#This Row],[Artículo]]="","",IFERROR(MIN(_xlfn._xlws.FILTER(Tabla2[Precio Unitario ARS],Tabla2[Artículo]=Tabla4[[#This Row],[Artículo]])),""))</f>
        <v/>
      </c>
      <c r="I38" s="12" t="str" cm="1">
        <f t="array" ref="I38">IF(Tabla4[[#This Row],[Artículo]]="","",IFERROR(_xlfn.XLOOKUP(1,(Tabla2[Artículo]=Tabla4[[#This Row],[Artículo]])*(Tabla2[Precio Unitario ARS]=Tabla4[[#This Row],[Mejor Precio]]),Tabla2[Proveedor]),""))</f>
        <v/>
      </c>
      <c r="J38" s="11" t="str">
        <f>IF(Tabla4[[#This Row],[Artículo]]="","",IFERROR((Tabla4[[#This Row],[Precio Cotizado]]-Tabla4[[#This Row],[Últ. Precio]])/Tabla4[[#This Row],[Últ. Precio]],""))</f>
        <v/>
      </c>
      <c r="K38" s="12" t="str">
        <f>IF(Tabla4[[#This Row],[Artículo]]="","",IFERROR(Tabla4[[#This Row],[Precio Cotizado]]-Tabla4[[#This Row],[Mejor Precio]],""))</f>
        <v/>
      </c>
      <c r="L38" s="13" t="str">
        <f>IF(Tabla4[[#This Row],[Artículo]]="","",IFERROR(Tabla4[[#This Row],[Dif por Unidad]]*Tabla4[[#This Row],[Cantidad]],""))</f>
        <v/>
      </c>
      <c r="M38" s="19" t="str">
        <f t="shared" si="1"/>
        <v/>
      </c>
      <c r="N38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39" spans="2:14" x14ac:dyDescent="0.25">
      <c r="B39"/>
      <c r="E39" s="45"/>
      <c r="F39" s="12" t="str">
        <f>IF(Tabla4[[#This Row],[Artículo]]="","",IFERROR(_xlfn.XLOOKUP(Tabla4[[#This Row],[Artículo]],Tabla2[Artículo],Tabla2[Precio Unitario ARS],"",0,-1),""))</f>
        <v/>
      </c>
      <c r="G39" s="18" t="str">
        <f>IF(Tabla4[[#This Row],[Artículo]]="","",IFERROR(_xlfn.XLOOKUP(Tabla4[[#This Row],[Artículo]],Tabla2[Artículo],Tabla2[Proveedor],"",0,-1),""))</f>
        <v/>
      </c>
      <c r="H39" s="12" t="str" cm="1">
        <f t="array" ref="H39">IF(Tabla4[[#This Row],[Artículo]]="","",IFERROR(MIN(_xlfn._xlws.FILTER(Tabla2[Precio Unitario ARS],Tabla2[Artículo]=Tabla4[[#This Row],[Artículo]])),""))</f>
        <v/>
      </c>
      <c r="I39" s="12" t="str" cm="1">
        <f t="array" ref="I39">IF(Tabla4[[#This Row],[Artículo]]="","",IFERROR(_xlfn.XLOOKUP(1,(Tabla2[Artículo]=Tabla4[[#This Row],[Artículo]])*(Tabla2[Precio Unitario ARS]=Tabla4[[#This Row],[Mejor Precio]]),Tabla2[Proveedor]),""))</f>
        <v/>
      </c>
      <c r="J39" s="11" t="str">
        <f>IF(Tabla4[[#This Row],[Artículo]]="","",IFERROR((Tabla4[[#This Row],[Precio Cotizado]]-Tabla4[[#This Row],[Últ. Precio]])/Tabla4[[#This Row],[Últ. Precio]],""))</f>
        <v/>
      </c>
      <c r="K39" s="12" t="str">
        <f>IF(Tabla4[[#This Row],[Artículo]]="","",IFERROR(Tabla4[[#This Row],[Precio Cotizado]]-Tabla4[[#This Row],[Mejor Precio]],""))</f>
        <v/>
      </c>
      <c r="L39" s="13" t="str">
        <f>IF(Tabla4[[#This Row],[Artículo]]="","",IFERROR(Tabla4[[#This Row],[Dif por Unidad]]*Tabla4[[#This Row],[Cantidad]],""))</f>
        <v/>
      </c>
      <c r="M39" s="19" t="str">
        <f t="shared" si="1"/>
        <v/>
      </c>
      <c r="N39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40" spans="2:14" x14ac:dyDescent="0.25">
      <c r="B40"/>
      <c r="E40" s="45"/>
      <c r="F40" s="12" t="str">
        <f>IF(Tabla4[[#This Row],[Artículo]]="","",IFERROR(_xlfn.XLOOKUP(Tabla4[[#This Row],[Artículo]],Tabla2[Artículo],Tabla2[Precio Unitario ARS],"",0,-1),""))</f>
        <v/>
      </c>
      <c r="G40" s="18" t="str">
        <f>IF(Tabla4[[#This Row],[Artículo]]="","",IFERROR(_xlfn.XLOOKUP(Tabla4[[#This Row],[Artículo]],Tabla2[Artículo],Tabla2[Proveedor],"",0,-1),""))</f>
        <v/>
      </c>
      <c r="H40" s="12" t="str" cm="1">
        <f t="array" ref="H40">IF(Tabla4[[#This Row],[Artículo]]="","",IFERROR(MIN(_xlfn._xlws.FILTER(Tabla2[Precio Unitario ARS],Tabla2[Artículo]=Tabla4[[#This Row],[Artículo]])),""))</f>
        <v/>
      </c>
      <c r="I40" s="12" t="str" cm="1">
        <f t="array" ref="I40">IF(Tabla4[[#This Row],[Artículo]]="","",IFERROR(_xlfn.XLOOKUP(1,(Tabla2[Artículo]=Tabla4[[#This Row],[Artículo]])*(Tabla2[Precio Unitario ARS]=Tabla4[[#This Row],[Mejor Precio]]),Tabla2[Proveedor]),""))</f>
        <v/>
      </c>
      <c r="J40" s="11" t="str">
        <f>IF(Tabla4[[#This Row],[Artículo]]="","",IFERROR((Tabla4[[#This Row],[Precio Cotizado]]-Tabla4[[#This Row],[Últ. Precio]])/Tabla4[[#This Row],[Últ. Precio]],""))</f>
        <v/>
      </c>
      <c r="K40" s="12" t="str">
        <f>IF(Tabla4[[#This Row],[Artículo]]="","",IFERROR(Tabla4[[#This Row],[Precio Cotizado]]-Tabla4[[#This Row],[Mejor Precio]],""))</f>
        <v/>
      </c>
      <c r="L40" s="13" t="str">
        <f>IF(Tabla4[[#This Row],[Artículo]]="","",IFERROR(Tabla4[[#This Row],[Dif por Unidad]]*Tabla4[[#This Row],[Cantidad]],""))</f>
        <v/>
      </c>
      <c r="M40" s="19" t="str">
        <f t="shared" si="1"/>
        <v/>
      </c>
      <c r="N40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41" spans="2:14" x14ac:dyDescent="0.25">
      <c r="B41"/>
      <c r="E41" s="45"/>
      <c r="F41" s="12" t="str">
        <f>IF(Tabla4[[#This Row],[Artículo]]="","",IFERROR(_xlfn.XLOOKUP(Tabla4[[#This Row],[Artículo]],Tabla2[Artículo],Tabla2[Precio Unitario ARS],"",0,-1),""))</f>
        <v/>
      </c>
      <c r="G41" s="18" t="str">
        <f>IF(Tabla4[[#This Row],[Artículo]]="","",IFERROR(_xlfn.XLOOKUP(Tabla4[[#This Row],[Artículo]],Tabla2[Artículo],Tabla2[Proveedor],"",0,-1),""))</f>
        <v/>
      </c>
      <c r="H41" s="12" t="str" cm="1">
        <f t="array" ref="H41">IF(Tabla4[[#This Row],[Artículo]]="","",IFERROR(MIN(_xlfn._xlws.FILTER(Tabla2[Precio Unitario ARS],Tabla2[Artículo]=Tabla4[[#This Row],[Artículo]])),""))</f>
        <v/>
      </c>
      <c r="I41" s="12" t="str" cm="1">
        <f t="array" ref="I41">IF(Tabla4[[#This Row],[Artículo]]="","",IFERROR(_xlfn.XLOOKUP(1,(Tabla2[Artículo]=Tabla4[[#This Row],[Artículo]])*(Tabla2[Precio Unitario ARS]=Tabla4[[#This Row],[Mejor Precio]]),Tabla2[Proveedor]),""))</f>
        <v/>
      </c>
      <c r="J41" s="11" t="str">
        <f>IF(Tabla4[[#This Row],[Artículo]]="","",IFERROR((Tabla4[[#This Row],[Precio Cotizado]]-Tabla4[[#This Row],[Últ. Precio]])/Tabla4[[#This Row],[Últ. Precio]],""))</f>
        <v/>
      </c>
      <c r="K41" s="12" t="str">
        <f>IF(Tabla4[[#This Row],[Artículo]]="","",IFERROR(Tabla4[[#This Row],[Precio Cotizado]]-Tabla4[[#This Row],[Mejor Precio]],""))</f>
        <v/>
      </c>
      <c r="L41" s="13" t="str">
        <f>IF(Tabla4[[#This Row],[Artículo]]="","",IFERROR(Tabla4[[#This Row],[Dif por Unidad]]*Tabla4[[#This Row],[Cantidad]],""))</f>
        <v/>
      </c>
      <c r="M41" s="19" t="str">
        <f t="shared" si="1"/>
        <v/>
      </c>
      <c r="N41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42" spans="2:14" x14ac:dyDescent="0.25">
      <c r="B42"/>
      <c r="E42" s="45"/>
      <c r="F42" s="12" t="str">
        <f>IF(Tabla4[[#This Row],[Artículo]]="","",IFERROR(_xlfn.XLOOKUP(Tabla4[[#This Row],[Artículo]],Tabla2[Artículo],Tabla2[Precio Unitario ARS],"",0,-1),""))</f>
        <v/>
      </c>
      <c r="G42" s="18" t="str">
        <f>IF(Tabla4[[#This Row],[Artículo]]="","",IFERROR(_xlfn.XLOOKUP(Tabla4[[#This Row],[Artículo]],Tabla2[Artículo],Tabla2[Proveedor],"",0,-1),""))</f>
        <v/>
      </c>
      <c r="H42" s="12" t="str" cm="1">
        <f t="array" ref="H42">IF(Tabla4[[#This Row],[Artículo]]="","",IFERROR(MIN(_xlfn._xlws.FILTER(Tabla2[Precio Unitario ARS],Tabla2[Artículo]=Tabla4[[#This Row],[Artículo]])),""))</f>
        <v/>
      </c>
      <c r="I42" s="12" t="str" cm="1">
        <f t="array" ref="I42">IF(Tabla4[[#This Row],[Artículo]]="","",IFERROR(_xlfn.XLOOKUP(1,(Tabla2[Artículo]=Tabla4[[#This Row],[Artículo]])*(Tabla2[Precio Unitario ARS]=Tabla4[[#This Row],[Mejor Precio]]),Tabla2[Proveedor]),""))</f>
        <v/>
      </c>
      <c r="J42" s="11" t="str">
        <f>IF(Tabla4[[#This Row],[Artículo]]="","",IFERROR((Tabla4[[#This Row],[Precio Cotizado]]-Tabla4[[#This Row],[Últ. Precio]])/Tabla4[[#This Row],[Últ. Precio]],""))</f>
        <v/>
      </c>
      <c r="K42" s="12" t="str">
        <f>IF(Tabla4[[#This Row],[Artículo]]="","",IFERROR(Tabla4[[#This Row],[Precio Cotizado]]-Tabla4[[#This Row],[Mejor Precio]],""))</f>
        <v/>
      </c>
      <c r="L42" s="13" t="str">
        <f>IF(Tabla4[[#This Row],[Artículo]]="","",IFERROR(Tabla4[[#This Row],[Dif por Unidad]]*Tabla4[[#This Row],[Cantidad]],""))</f>
        <v/>
      </c>
      <c r="M42" s="19" t="str">
        <f t="shared" si="1"/>
        <v/>
      </c>
      <c r="N42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43" spans="2:14" x14ac:dyDescent="0.25">
      <c r="B43"/>
      <c r="E43" s="45"/>
      <c r="F43" s="12" t="str">
        <f>IF(Tabla4[[#This Row],[Artículo]]="","",IFERROR(_xlfn.XLOOKUP(Tabla4[[#This Row],[Artículo]],Tabla2[Artículo],Tabla2[Precio Unitario ARS],"",0,-1),""))</f>
        <v/>
      </c>
      <c r="G43" s="18" t="str">
        <f>IF(Tabla4[[#This Row],[Artículo]]="","",IFERROR(_xlfn.XLOOKUP(Tabla4[[#This Row],[Artículo]],Tabla2[Artículo],Tabla2[Proveedor],"",0,-1),""))</f>
        <v/>
      </c>
      <c r="H43" s="12" t="str" cm="1">
        <f t="array" ref="H43">IF(Tabla4[[#This Row],[Artículo]]="","",IFERROR(MIN(_xlfn._xlws.FILTER(Tabla2[Precio Unitario ARS],Tabla2[Artículo]=Tabla4[[#This Row],[Artículo]])),""))</f>
        <v/>
      </c>
      <c r="I43" s="12" t="str" cm="1">
        <f t="array" ref="I43">IF(Tabla4[[#This Row],[Artículo]]="","",IFERROR(_xlfn.XLOOKUP(1,(Tabla2[Artículo]=Tabla4[[#This Row],[Artículo]])*(Tabla2[Precio Unitario ARS]=Tabla4[[#This Row],[Mejor Precio]]),Tabla2[Proveedor]),""))</f>
        <v/>
      </c>
      <c r="J43" s="11" t="str">
        <f>IF(Tabla4[[#This Row],[Artículo]]="","",IFERROR((Tabla4[[#This Row],[Precio Cotizado]]-Tabla4[[#This Row],[Últ. Precio]])/Tabla4[[#This Row],[Últ. Precio]],""))</f>
        <v/>
      </c>
      <c r="K43" s="12" t="str">
        <f>IF(Tabla4[[#This Row],[Artículo]]="","",IFERROR(Tabla4[[#This Row],[Precio Cotizado]]-Tabla4[[#This Row],[Mejor Precio]],""))</f>
        <v/>
      </c>
      <c r="L43" s="13" t="str">
        <f>IF(Tabla4[[#This Row],[Artículo]]="","",IFERROR(Tabla4[[#This Row],[Dif por Unidad]]*Tabla4[[#This Row],[Cantidad]],""))</f>
        <v/>
      </c>
      <c r="M43" s="19" t="str">
        <f t="shared" si="1"/>
        <v/>
      </c>
      <c r="N43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44" spans="2:14" x14ac:dyDescent="0.25">
      <c r="B44"/>
      <c r="E44" s="45"/>
      <c r="F44" s="12" t="str">
        <f>IF(Tabla4[[#This Row],[Artículo]]="","",IFERROR(_xlfn.XLOOKUP(Tabla4[[#This Row],[Artículo]],Tabla2[Artículo],Tabla2[Precio Unitario ARS],"",0,-1),""))</f>
        <v/>
      </c>
      <c r="G44" s="18" t="str">
        <f>IF(Tabla4[[#This Row],[Artículo]]="","",IFERROR(_xlfn.XLOOKUP(Tabla4[[#This Row],[Artículo]],Tabla2[Artículo],Tabla2[Proveedor],"",0,-1),""))</f>
        <v/>
      </c>
      <c r="H44" s="12" t="str" cm="1">
        <f t="array" ref="H44">IF(Tabla4[[#This Row],[Artículo]]="","",IFERROR(MIN(_xlfn._xlws.FILTER(Tabla2[Precio Unitario ARS],Tabla2[Artículo]=Tabla4[[#This Row],[Artículo]])),""))</f>
        <v/>
      </c>
      <c r="I44" s="12" t="str" cm="1">
        <f t="array" ref="I44">IF(Tabla4[[#This Row],[Artículo]]="","",IFERROR(_xlfn.XLOOKUP(1,(Tabla2[Artículo]=Tabla4[[#This Row],[Artículo]])*(Tabla2[Precio Unitario ARS]=Tabla4[[#This Row],[Mejor Precio]]),Tabla2[Proveedor]),""))</f>
        <v/>
      </c>
      <c r="J44" s="11" t="str">
        <f>IF(Tabla4[[#This Row],[Artículo]]="","",IFERROR((Tabla4[[#This Row],[Precio Cotizado]]-Tabla4[[#This Row],[Últ. Precio]])/Tabla4[[#This Row],[Últ. Precio]],""))</f>
        <v/>
      </c>
      <c r="K44" s="12" t="str">
        <f>IF(Tabla4[[#This Row],[Artículo]]="","",IFERROR(Tabla4[[#This Row],[Precio Cotizado]]-Tabla4[[#This Row],[Mejor Precio]],""))</f>
        <v/>
      </c>
      <c r="L44" s="13" t="str">
        <f>IF(Tabla4[[#This Row],[Artículo]]="","",IFERROR(Tabla4[[#This Row],[Dif por Unidad]]*Tabla4[[#This Row],[Cantidad]],""))</f>
        <v/>
      </c>
      <c r="M44" s="19" t="str">
        <f t="shared" si="1"/>
        <v/>
      </c>
      <c r="N44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45" spans="2:14" x14ac:dyDescent="0.25">
      <c r="B45"/>
      <c r="E45" s="45"/>
      <c r="F45" s="12" t="str">
        <f>IF(Tabla4[[#This Row],[Artículo]]="","",IFERROR(_xlfn.XLOOKUP(Tabla4[[#This Row],[Artículo]],Tabla2[Artículo],Tabla2[Precio Unitario ARS],"",0,-1),""))</f>
        <v/>
      </c>
      <c r="G45" s="18" t="str">
        <f>IF(Tabla4[[#This Row],[Artículo]]="","",IFERROR(_xlfn.XLOOKUP(Tabla4[[#This Row],[Artículo]],Tabla2[Artículo],Tabla2[Proveedor],"",0,-1),""))</f>
        <v/>
      </c>
      <c r="H45" s="12" t="str" cm="1">
        <f t="array" ref="H45">IF(Tabla4[[#This Row],[Artículo]]="","",IFERROR(MIN(_xlfn._xlws.FILTER(Tabla2[Precio Unitario ARS],Tabla2[Artículo]=Tabla4[[#This Row],[Artículo]])),""))</f>
        <v/>
      </c>
      <c r="I45" s="12" t="str" cm="1">
        <f t="array" ref="I45">IF(Tabla4[[#This Row],[Artículo]]="","",IFERROR(_xlfn.XLOOKUP(1,(Tabla2[Artículo]=Tabla4[[#This Row],[Artículo]])*(Tabla2[Precio Unitario ARS]=Tabla4[[#This Row],[Mejor Precio]]),Tabla2[Proveedor]),""))</f>
        <v/>
      </c>
      <c r="J45" s="11" t="str">
        <f>IF(Tabla4[[#This Row],[Artículo]]="","",IFERROR((Tabla4[[#This Row],[Precio Cotizado]]-Tabla4[[#This Row],[Últ. Precio]])/Tabla4[[#This Row],[Últ. Precio]],""))</f>
        <v/>
      </c>
      <c r="K45" s="12" t="str">
        <f>IF(Tabla4[[#This Row],[Artículo]]="","",IFERROR(Tabla4[[#This Row],[Precio Cotizado]]-Tabla4[[#This Row],[Mejor Precio]],""))</f>
        <v/>
      </c>
      <c r="L45" s="13" t="str">
        <f>IF(Tabla4[[#This Row],[Artículo]]="","",IFERROR(Tabla4[[#This Row],[Dif por Unidad]]*Tabla4[[#This Row],[Cantidad]],""))</f>
        <v/>
      </c>
      <c r="M45" s="19" t="str">
        <f t="shared" si="1"/>
        <v/>
      </c>
      <c r="N45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46" spans="2:14" x14ac:dyDescent="0.25">
      <c r="B46"/>
      <c r="E46" s="45"/>
      <c r="F46" s="12" t="str">
        <f>IF(Tabla4[[#This Row],[Artículo]]="","",IFERROR(_xlfn.XLOOKUP(Tabla4[[#This Row],[Artículo]],Tabla2[Artículo],Tabla2[Precio Unitario ARS],"",0,-1),""))</f>
        <v/>
      </c>
      <c r="G46" s="18" t="str">
        <f>IF(Tabla4[[#This Row],[Artículo]]="","",IFERROR(_xlfn.XLOOKUP(Tabla4[[#This Row],[Artículo]],Tabla2[Artículo],Tabla2[Proveedor],"",0,-1),""))</f>
        <v/>
      </c>
      <c r="H46" s="12" t="str" cm="1">
        <f t="array" ref="H46">IF(Tabla4[[#This Row],[Artículo]]="","",IFERROR(MIN(_xlfn._xlws.FILTER(Tabla2[Precio Unitario ARS],Tabla2[Artículo]=Tabla4[[#This Row],[Artículo]])),""))</f>
        <v/>
      </c>
      <c r="I46" s="12" t="str" cm="1">
        <f t="array" ref="I46">IF(Tabla4[[#This Row],[Artículo]]="","",IFERROR(_xlfn.XLOOKUP(1,(Tabla2[Artículo]=Tabla4[[#This Row],[Artículo]])*(Tabla2[Precio Unitario ARS]=Tabla4[[#This Row],[Mejor Precio]]),Tabla2[Proveedor]),""))</f>
        <v/>
      </c>
      <c r="J46" s="11" t="str">
        <f>IF(Tabla4[[#This Row],[Artículo]]="","",IFERROR((Tabla4[[#This Row],[Precio Cotizado]]-Tabla4[[#This Row],[Últ. Precio]])/Tabla4[[#This Row],[Últ. Precio]],""))</f>
        <v/>
      </c>
      <c r="K46" s="12" t="str">
        <f>IF(Tabla4[[#This Row],[Artículo]]="","",IFERROR(Tabla4[[#This Row],[Precio Cotizado]]-Tabla4[[#This Row],[Mejor Precio]],""))</f>
        <v/>
      </c>
      <c r="L46" s="13" t="str">
        <f>IF(Tabla4[[#This Row],[Artículo]]="","",IFERROR(Tabla4[[#This Row],[Dif por Unidad]]*Tabla4[[#This Row],[Cantidad]],""))</f>
        <v/>
      </c>
      <c r="M46" s="19" t="str">
        <f t="shared" si="1"/>
        <v/>
      </c>
      <c r="N46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47" spans="2:14" x14ac:dyDescent="0.25">
      <c r="B47"/>
      <c r="E47" s="45"/>
      <c r="F47" s="12" t="str">
        <f>IF(Tabla4[[#This Row],[Artículo]]="","",IFERROR(_xlfn.XLOOKUP(Tabla4[[#This Row],[Artículo]],Tabla2[Artículo],Tabla2[Precio Unitario ARS],"",0,-1),""))</f>
        <v/>
      </c>
      <c r="G47" s="18" t="str">
        <f>IF(Tabla4[[#This Row],[Artículo]]="","",IFERROR(_xlfn.XLOOKUP(Tabla4[[#This Row],[Artículo]],Tabla2[Artículo],Tabla2[Proveedor],"",0,-1),""))</f>
        <v/>
      </c>
      <c r="H47" s="12" t="str" cm="1">
        <f t="array" ref="H47">IF(Tabla4[[#This Row],[Artículo]]="","",IFERROR(MIN(_xlfn._xlws.FILTER(Tabla2[Precio Unitario ARS],Tabla2[Artículo]=Tabla4[[#This Row],[Artículo]])),""))</f>
        <v/>
      </c>
      <c r="I47" s="12" t="str" cm="1">
        <f t="array" ref="I47">IF(Tabla4[[#This Row],[Artículo]]="","",IFERROR(_xlfn.XLOOKUP(1,(Tabla2[Artículo]=Tabla4[[#This Row],[Artículo]])*(Tabla2[Precio Unitario ARS]=Tabla4[[#This Row],[Mejor Precio]]),Tabla2[Proveedor]),""))</f>
        <v/>
      </c>
      <c r="J47" s="11" t="str">
        <f>IF(Tabla4[[#This Row],[Artículo]]="","",IFERROR((Tabla4[[#This Row],[Precio Cotizado]]-Tabla4[[#This Row],[Últ. Precio]])/Tabla4[[#This Row],[Últ. Precio]],""))</f>
        <v/>
      </c>
      <c r="K47" s="12" t="str">
        <f>IF(Tabla4[[#This Row],[Artículo]]="","",IFERROR(Tabla4[[#This Row],[Precio Cotizado]]-Tabla4[[#This Row],[Mejor Precio]],""))</f>
        <v/>
      </c>
      <c r="L47" s="13" t="str">
        <f>IF(Tabla4[[#This Row],[Artículo]]="","",IFERROR(Tabla4[[#This Row],[Dif por Unidad]]*Tabla4[[#This Row],[Cantidad]],""))</f>
        <v/>
      </c>
      <c r="M47" s="19" t="str">
        <f t="shared" si="1"/>
        <v/>
      </c>
      <c r="N47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48" spans="2:14" x14ac:dyDescent="0.25">
      <c r="B48"/>
      <c r="E48" s="45"/>
      <c r="F48" s="12" t="str">
        <f>IF(Tabla4[[#This Row],[Artículo]]="","",IFERROR(_xlfn.XLOOKUP(Tabla4[[#This Row],[Artículo]],Tabla2[Artículo],Tabla2[Precio Unitario ARS],"",0,-1),""))</f>
        <v/>
      </c>
      <c r="G48" s="18" t="str">
        <f>IF(Tabla4[[#This Row],[Artículo]]="","",IFERROR(_xlfn.XLOOKUP(Tabla4[[#This Row],[Artículo]],Tabla2[Artículo],Tabla2[Proveedor],"",0,-1),""))</f>
        <v/>
      </c>
      <c r="H48" s="12" t="str" cm="1">
        <f t="array" ref="H48">IF(Tabla4[[#This Row],[Artículo]]="","",IFERROR(MIN(_xlfn._xlws.FILTER(Tabla2[Precio Unitario ARS],Tabla2[Artículo]=Tabla4[[#This Row],[Artículo]])),""))</f>
        <v/>
      </c>
      <c r="I48" s="12" t="str" cm="1">
        <f t="array" ref="I48">IF(Tabla4[[#This Row],[Artículo]]="","",IFERROR(_xlfn.XLOOKUP(1,(Tabla2[Artículo]=Tabla4[[#This Row],[Artículo]])*(Tabla2[Precio Unitario ARS]=Tabla4[[#This Row],[Mejor Precio]]),Tabla2[Proveedor]),""))</f>
        <v/>
      </c>
      <c r="J48" s="11" t="str">
        <f>IF(Tabla4[[#This Row],[Artículo]]="","",IFERROR((Tabla4[[#This Row],[Precio Cotizado]]-Tabla4[[#This Row],[Últ. Precio]])/Tabla4[[#This Row],[Últ. Precio]],""))</f>
        <v/>
      </c>
      <c r="K48" s="12" t="str">
        <f>IF(Tabla4[[#This Row],[Artículo]]="","",IFERROR(Tabla4[[#This Row],[Precio Cotizado]]-Tabla4[[#This Row],[Mejor Precio]],""))</f>
        <v/>
      </c>
      <c r="L48" s="13" t="str">
        <f>IF(Tabla4[[#This Row],[Artículo]]="","",IFERROR(Tabla4[[#This Row],[Dif por Unidad]]*Tabla4[[#This Row],[Cantidad]],""))</f>
        <v/>
      </c>
      <c r="M48" s="19" t="str">
        <f t="shared" si="1"/>
        <v/>
      </c>
      <c r="N48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49" spans="2:14" x14ac:dyDescent="0.25">
      <c r="B49"/>
      <c r="E49" s="45"/>
      <c r="F49" s="12" t="str">
        <f>IF(Tabla4[[#This Row],[Artículo]]="","",IFERROR(_xlfn.XLOOKUP(Tabla4[[#This Row],[Artículo]],Tabla2[Artículo],Tabla2[Precio Unitario ARS],"",0,-1),""))</f>
        <v/>
      </c>
      <c r="G49" s="18" t="str">
        <f>IF(Tabla4[[#This Row],[Artículo]]="","",IFERROR(_xlfn.XLOOKUP(Tabla4[[#This Row],[Artículo]],Tabla2[Artículo],Tabla2[Proveedor],"",0,-1),""))</f>
        <v/>
      </c>
      <c r="H49" s="12" t="str" cm="1">
        <f t="array" ref="H49">IF(Tabla4[[#This Row],[Artículo]]="","",IFERROR(MIN(_xlfn._xlws.FILTER(Tabla2[Precio Unitario ARS],Tabla2[Artículo]=Tabla4[[#This Row],[Artículo]])),""))</f>
        <v/>
      </c>
      <c r="I49" s="12" t="str" cm="1">
        <f t="array" ref="I49">IF(Tabla4[[#This Row],[Artículo]]="","",IFERROR(_xlfn.XLOOKUP(1,(Tabla2[Artículo]=Tabla4[[#This Row],[Artículo]])*(Tabla2[Precio Unitario ARS]=Tabla4[[#This Row],[Mejor Precio]]),Tabla2[Proveedor]),""))</f>
        <v/>
      </c>
      <c r="J49" s="11" t="str">
        <f>IF(Tabla4[[#This Row],[Artículo]]="","",IFERROR((Tabla4[[#This Row],[Precio Cotizado]]-Tabla4[[#This Row],[Últ. Precio]])/Tabla4[[#This Row],[Últ. Precio]],""))</f>
        <v/>
      </c>
      <c r="K49" s="12" t="str">
        <f>IF(Tabla4[[#This Row],[Artículo]]="","",IFERROR(Tabla4[[#This Row],[Precio Cotizado]]-Tabla4[[#This Row],[Mejor Precio]],""))</f>
        <v/>
      </c>
      <c r="L49" s="13" t="str">
        <f>IF(Tabla4[[#This Row],[Artículo]]="","",IFERROR(Tabla4[[#This Row],[Dif por Unidad]]*Tabla4[[#This Row],[Cantidad]],""))</f>
        <v/>
      </c>
      <c r="M49" s="19" t="str">
        <f t="shared" si="1"/>
        <v/>
      </c>
      <c r="N49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50" spans="2:14" x14ac:dyDescent="0.25">
      <c r="B50"/>
      <c r="E50" s="45"/>
      <c r="F50" s="12" t="str">
        <f>IF(Tabla4[[#This Row],[Artículo]]="","",IFERROR(_xlfn.XLOOKUP(Tabla4[[#This Row],[Artículo]],Tabla2[Artículo],Tabla2[Precio Unitario ARS],"",0,-1),""))</f>
        <v/>
      </c>
      <c r="G50" s="18" t="str">
        <f>IF(Tabla4[[#This Row],[Artículo]]="","",IFERROR(_xlfn.XLOOKUP(Tabla4[[#This Row],[Artículo]],Tabla2[Artículo],Tabla2[Proveedor],"",0,-1),""))</f>
        <v/>
      </c>
      <c r="H50" s="12" t="str" cm="1">
        <f t="array" ref="H50">IF(Tabla4[[#This Row],[Artículo]]="","",IFERROR(MIN(_xlfn._xlws.FILTER(Tabla2[Precio Unitario ARS],Tabla2[Artículo]=Tabla4[[#This Row],[Artículo]])),""))</f>
        <v/>
      </c>
      <c r="I50" s="12" t="str" cm="1">
        <f t="array" ref="I50">IF(Tabla4[[#This Row],[Artículo]]="","",IFERROR(_xlfn.XLOOKUP(1,(Tabla2[Artículo]=Tabla4[[#This Row],[Artículo]])*(Tabla2[Precio Unitario ARS]=Tabla4[[#This Row],[Mejor Precio]]),Tabla2[Proveedor]),""))</f>
        <v/>
      </c>
      <c r="J50" s="11" t="str">
        <f>IF(Tabla4[[#This Row],[Artículo]]="","",IFERROR((Tabla4[[#This Row],[Precio Cotizado]]-Tabla4[[#This Row],[Últ. Precio]])/Tabla4[[#This Row],[Últ. Precio]],""))</f>
        <v/>
      </c>
      <c r="K50" s="12" t="str">
        <f>IF(Tabla4[[#This Row],[Artículo]]="","",IFERROR(Tabla4[[#This Row],[Precio Cotizado]]-Tabla4[[#This Row],[Mejor Precio]],""))</f>
        <v/>
      </c>
      <c r="L50" s="13" t="str">
        <f>IF(Tabla4[[#This Row],[Artículo]]="","",IFERROR(Tabla4[[#This Row],[Dif por Unidad]]*Tabla4[[#This Row],[Cantidad]],""))</f>
        <v/>
      </c>
      <c r="M50" s="19" t="str">
        <f t="shared" si="1"/>
        <v/>
      </c>
      <c r="N50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51" spans="2:14" x14ac:dyDescent="0.25">
      <c r="B51"/>
      <c r="E51" s="45"/>
      <c r="F51" s="12" t="str">
        <f>IF(Tabla4[[#This Row],[Artículo]]="","",IFERROR(_xlfn.XLOOKUP(Tabla4[[#This Row],[Artículo]],Tabla2[Artículo],Tabla2[Precio Unitario ARS],"",0,-1),""))</f>
        <v/>
      </c>
      <c r="G51" s="18" t="str">
        <f>IF(Tabla4[[#This Row],[Artículo]]="","",IFERROR(_xlfn.XLOOKUP(Tabla4[[#This Row],[Artículo]],Tabla2[Artículo],Tabla2[Proveedor],"",0,-1),""))</f>
        <v/>
      </c>
      <c r="H51" s="12" t="str" cm="1">
        <f t="array" ref="H51">IF(Tabla4[[#This Row],[Artículo]]="","",IFERROR(MIN(_xlfn._xlws.FILTER(Tabla2[Precio Unitario ARS],Tabla2[Artículo]=Tabla4[[#This Row],[Artículo]])),""))</f>
        <v/>
      </c>
      <c r="I51" s="12" t="str" cm="1">
        <f t="array" ref="I51">IF(Tabla4[[#This Row],[Artículo]]="","",IFERROR(_xlfn.XLOOKUP(1,(Tabla2[Artículo]=Tabla4[[#This Row],[Artículo]])*(Tabla2[Precio Unitario ARS]=Tabla4[[#This Row],[Mejor Precio]]),Tabla2[Proveedor]),""))</f>
        <v/>
      </c>
      <c r="J51" s="11" t="str">
        <f>IF(Tabla4[[#This Row],[Artículo]]="","",IFERROR((Tabla4[[#This Row],[Precio Cotizado]]-Tabla4[[#This Row],[Últ. Precio]])/Tabla4[[#This Row],[Últ. Precio]],""))</f>
        <v/>
      </c>
      <c r="K51" s="12" t="str">
        <f>IF(Tabla4[[#This Row],[Artículo]]="","",IFERROR(Tabla4[[#This Row],[Precio Cotizado]]-Tabla4[[#This Row],[Mejor Precio]],""))</f>
        <v/>
      </c>
      <c r="L51" s="13" t="str">
        <f>IF(Tabla4[[#This Row],[Artículo]]="","",IFERROR(Tabla4[[#This Row],[Dif por Unidad]]*Tabla4[[#This Row],[Cantidad]],""))</f>
        <v/>
      </c>
      <c r="M51" s="19" t="str">
        <f t="shared" si="1"/>
        <v/>
      </c>
      <c r="N51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52" spans="2:14" x14ac:dyDescent="0.25">
      <c r="B52"/>
      <c r="E52" s="45"/>
      <c r="F52" s="12" t="str">
        <f>IF(Tabla4[[#This Row],[Artículo]]="","",IFERROR(_xlfn.XLOOKUP(Tabla4[[#This Row],[Artículo]],Tabla2[Artículo],Tabla2[Precio Unitario ARS],"",0,-1),""))</f>
        <v/>
      </c>
      <c r="G52" s="18" t="str">
        <f>IF(Tabla4[[#This Row],[Artículo]]="","",IFERROR(_xlfn.XLOOKUP(Tabla4[[#This Row],[Artículo]],Tabla2[Artículo],Tabla2[Proveedor],"",0,-1),""))</f>
        <v/>
      </c>
      <c r="H52" s="12" t="str" cm="1">
        <f t="array" ref="H52">IF(Tabla4[[#This Row],[Artículo]]="","",IFERROR(MIN(_xlfn._xlws.FILTER(Tabla2[Precio Unitario ARS],Tabla2[Artículo]=Tabla4[[#This Row],[Artículo]])),""))</f>
        <v/>
      </c>
      <c r="I52" s="12" t="str" cm="1">
        <f t="array" ref="I52">IF(Tabla4[[#This Row],[Artículo]]="","",IFERROR(_xlfn.XLOOKUP(1,(Tabla2[Artículo]=Tabla4[[#This Row],[Artículo]])*(Tabla2[Precio Unitario ARS]=Tabla4[[#This Row],[Mejor Precio]]),Tabla2[Proveedor]),""))</f>
        <v/>
      </c>
      <c r="J52" s="11" t="str">
        <f>IF(Tabla4[[#This Row],[Artículo]]="","",IFERROR((Tabla4[[#This Row],[Precio Cotizado]]-Tabla4[[#This Row],[Últ. Precio]])/Tabla4[[#This Row],[Últ. Precio]],""))</f>
        <v/>
      </c>
      <c r="K52" s="12" t="str">
        <f>IF(Tabla4[[#This Row],[Artículo]]="","",IFERROR(Tabla4[[#This Row],[Precio Cotizado]]-Tabla4[[#This Row],[Mejor Precio]],""))</f>
        <v/>
      </c>
      <c r="L52" s="13" t="str">
        <f>IF(Tabla4[[#This Row],[Artículo]]="","",IFERROR(Tabla4[[#This Row],[Dif por Unidad]]*Tabla4[[#This Row],[Cantidad]],""))</f>
        <v/>
      </c>
      <c r="M52" s="19" t="str">
        <f t="shared" si="1"/>
        <v/>
      </c>
      <c r="N52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53" spans="2:14" x14ac:dyDescent="0.25">
      <c r="B53"/>
      <c r="E53" s="45"/>
      <c r="F53" s="12" t="str">
        <f>IF(Tabla4[[#This Row],[Artículo]]="","",IFERROR(_xlfn.XLOOKUP(Tabla4[[#This Row],[Artículo]],Tabla2[Artículo],Tabla2[Precio Unitario ARS],"",0,-1),""))</f>
        <v/>
      </c>
      <c r="G53" s="18" t="str">
        <f>IF(Tabla4[[#This Row],[Artículo]]="","",IFERROR(_xlfn.XLOOKUP(Tabla4[[#This Row],[Artículo]],Tabla2[Artículo],Tabla2[Proveedor],"",0,-1),""))</f>
        <v/>
      </c>
      <c r="H53" s="12" t="str" cm="1">
        <f t="array" ref="H53">IF(Tabla4[[#This Row],[Artículo]]="","",IFERROR(MIN(_xlfn._xlws.FILTER(Tabla2[Precio Unitario ARS],Tabla2[Artículo]=Tabla4[[#This Row],[Artículo]])),""))</f>
        <v/>
      </c>
      <c r="I53" s="12" t="str" cm="1">
        <f t="array" ref="I53">IF(Tabla4[[#This Row],[Artículo]]="","",IFERROR(_xlfn.XLOOKUP(1,(Tabla2[Artículo]=Tabla4[[#This Row],[Artículo]])*(Tabla2[Precio Unitario ARS]=Tabla4[[#This Row],[Mejor Precio]]),Tabla2[Proveedor]),""))</f>
        <v/>
      </c>
      <c r="J53" s="11" t="str">
        <f>IF(Tabla4[[#This Row],[Artículo]]="","",IFERROR((Tabla4[[#This Row],[Precio Cotizado]]-Tabla4[[#This Row],[Últ. Precio]])/Tabla4[[#This Row],[Últ. Precio]],""))</f>
        <v/>
      </c>
      <c r="K53" s="12" t="str">
        <f>IF(Tabla4[[#This Row],[Artículo]]="","",IFERROR(Tabla4[[#This Row],[Precio Cotizado]]-Tabla4[[#This Row],[Mejor Precio]],""))</f>
        <v/>
      </c>
      <c r="L53" s="13" t="str">
        <f>IF(Tabla4[[#This Row],[Artículo]]="","",IFERROR(Tabla4[[#This Row],[Dif por Unidad]]*Tabla4[[#This Row],[Cantidad]],""))</f>
        <v/>
      </c>
      <c r="M53" s="19" t="str">
        <f t="shared" si="1"/>
        <v/>
      </c>
      <c r="N53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54" spans="2:14" x14ac:dyDescent="0.25">
      <c r="B54"/>
      <c r="E54" s="45"/>
      <c r="F54" s="12" t="str">
        <f>IF(Tabla4[[#This Row],[Artículo]]="","",IFERROR(_xlfn.XLOOKUP(Tabla4[[#This Row],[Artículo]],Tabla2[Artículo],Tabla2[Precio Unitario ARS],"",0,-1),""))</f>
        <v/>
      </c>
      <c r="G54" s="18" t="str">
        <f>IF(Tabla4[[#This Row],[Artículo]]="","",IFERROR(_xlfn.XLOOKUP(Tabla4[[#This Row],[Artículo]],Tabla2[Artículo],Tabla2[Proveedor],"",0,-1),""))</f>
        <v/>
      </c>
      <c r="H54" s="12" t="str" cm="1">
        <f t="array" ref="H54">IF(Tabla4[[#This Row],[Artículo]]="","",IFERROR(MIN(_xlfn._xlws.FILTER(Tabla2[Precio Unitario ARS],Tabla2[Artículo]=Tabla4[[#This Row],[Artículo]])),""))</f>
        <v/>
      </c>
      <c r="I54" s="12" t="str" cm="1">
        <f t="array" ref="I54">IF(Tabla4[[#This Row],[Artículo]]="","",IFERROR(_xlfn.XLOOKUP(1,(Tabla2[Artículo]=Tabla4[[#This Row],[Artículo]])*(Tabla2[Precio Unitario ARS]=Tabla4[[#This Row],[Mejor Precio]]),Tabla2[Proveedor]),""))</f>
        <v/>
      </c>
      <c r="J54" s="11" t="str">
        <f>IF(Tabla4[[#This Row],[Artículo]]="","",IFERROR((Tabla4[[#This Row],[Precio Cotizado]]-Tabla4[[#This Row],[Últ. Precio]])/Tabla4[[#This Row],[Últ. Precio]],""))</f>
        <v/>
      </c>
      <c r="K54" s="12" t="str">
        <f>IF(Tabla4[[#This Row],[Artículo]]="","",IFERROR(Tabla4[[#This Row],[Precio Cotizado]]-Tabla4[[#This Row],[Mejor Precio]],""))</f>
        <v/>
      </c>
      <c r="L54" s="13" t="str">
        <f>IF(Tabla4[[#This Row],[Artículo]]="","",IFERROR(Tabla4[[#This Row],[Dif por Unidad]]*Tabla4[[#This Row],[Cantidad]],""))</f>
        <v/>
      </c>
      <c r="M54" s="19" t="str">
        <f t="shared" si="1"/>
        <v/>
      </c>
      <c r="N54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55" spans="2:14" x14ac:dyDescent="0.25">
      <c r="B55"/>
      <c r="E55" s="45"/>
      <c r="F55" s="12" t="str">
        <f>IF(Tabla4[[#This Row],[Artículo]]="","",IFERROR(_xlfn.XLOOKUP(Tabla4[[#This Row],[Artículo]],Tabla2[Artículo],Tabla2[Precio Unitario ARS],"",0,-1),""))</f>
        <v/>
      </c>
      <c r="G55" s="18" t="str">
        <f>IF(Tabla4[[#This Row],[Artículo]]="","",IFERROR(_xlfn.XLOOKUP(Tabla4[[#This Row],[Artículo]],Tabla2[Artículo],Tabla2[Proveedor],"",0,-1),""))</f>
        <v/>
      </c>
      <c r="H55" s="12" t="str" cm="1">
        <f t="array" ref="H55">IF(Tabla4[[#This Row],[Artículo]]="","",IFERROR(MIN(_xlfn._xlws.FILTER(Tabla2[Precio Unitario ARS],Tabla2[Artículo]=Tabla4[[#This Row],[Artículo]])),""))</f>
        <v/>
      </c>
      <c r="I55" s="12" t="str" cm="1">
        <f t="array" ref="I55">IF(Tabla4[[#This Row],[Artículo]]="","",IFERROR(_xlfn.XLOOKUP(1,(Tabla2[Artículo]=Tabla4[[#This Row],[Artículo]])*(Tabla2[Precio Unitario ARS]=Tabla4[[#This Row],[Mejor Precio]]),Tabla2[Proveedor]),""))</f>
        <v/>
      </c>
      <c r="J55" s="11" t="str">
        <f>IF(Tabla4[[#This Row],[Artículo]]="","",IFERROR((Tabla4[[#This Row],[Precio Cotizado]]-Tabla4[[#This Row],[Últ. Precio]])/Tabla4[[#This Row],[Últ. Precio]],""))</f>
        <v/>
      </c>
      <c r="K55" s="12" t="str">
        <f>IF(Tabla4[[#This Row],[Artículo]]="","",IFERROR(Tabla4[[#This Row],[Precio Cotizado]]-Tabla4[[#This Row],[Mejor Precio]],""))</f>
        <v/>
      </c>
      <c r="L55" s="13" t="str">
        <f>IF(Tabla4[[#This Row],[Artículo]]="","",IFERROR(Tabla4[[#This Row],[Dif por Unidad]]*Tabla4[[#This Row],[Cantidad]],""))</f>
        <v/>
      </c>
      <c r="M55" s="19" t="str">
        <f t="shared" si="1"/>
        <v/>
      </c>
      <c r="N55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56" spans="2:14" x14ac:dyDescent="0.25">
      <c r="B56"/>
      <c r="E56" s="45"/>
      <c r="F56" s="12" t="str">
        <f>IF(Tabla4[[#This Row],[Artículo]]="","",IFERROR(_xlfn.XLOOKUP(Tabla4[[#This Row],[Artículo]],Tabla2[Artículo],Tabla2[Precio Unitario ARS],"",0,-1),""))</f>
        <v/>
      </c>
      <c r="G56" s="18" t="str">
        <f>IF(Tabla4[[#This Row],[Artículo]]="","",IFERROR(_xlfn.XLOOKUP(Tabla4[[#This Row],[Artículo]],Tabla2[Artículo],Tabla2[Proveedor],"",0,-1),""))</f>
        <v/>
      </c>
      <c r="H56" s="12" t="str" cm="1">
        <f t="array" ref="H56">IF(Tabla4[[#This Row],[Artículo]]="","",IFERROR(MIN(_xlfn._xlws.FILTER(Tabla2[Precio Unitario ARS],Tabla2[Artículo]=Tabla4[[#This Row],[Artículo]])),""))</f>
        <v/>
      </c>
      <c r="I56" s="12" t="str" cm="1">
        <f t="array" ref="I56">IF(Tabla4[[#This Row],[Artículo]]="","",IFERROR(_xlfn.XLOOKUP(1,(Tabla2[Artículo]=Tabla4[[#This Row],[Artículo]])*(Tabla2[Precio Unitario ARS]=Tabla4[[#This Row],[Mejor Precio]]),Tabla2[Proveedor]),""))</f>
        <v/>
      </c>
      <c r="J56" s="11" t="str">
        <f>IF(Tabla4[[#This Row],[Artículo]]="","",IFERROR((Tabla4[[#This Row],[Precio Cotizado]]-Tabla4[[#This Row],[Últ. Precio]])/Tabla4[[#This Row],[Últ. Precio]],""))</f>
        <v/>
      </c>
      <c r="K56" s="12" t="str">
        <f>IF(Tabla4[[#This Row],[Artículo]]="","",IFERROR(Tabla4[[#This Row],[Precio Cotizado]]-Tabla4[[#This Row],[Mejor Precio]],""))</f>
        <v/>
      </c>
      <c r="L56" s="13" t="str">
        <f>IF(Tabla4[[#This Row],[Artículo]]="","",IFERROR(Tabla4[[#This Row],[Dif por Unidad]]*Tabla4[[#This Row],[Cantidad]],""))</f>
        <v/>
      </c>
      <c r="M56" s="19" t="str">
        <f t="shared" si="1"/>
        <v/>
      </c>
      <c r="N56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57" spans="2:14" x14ac:dyDescent="0.25">
      <c r="B57"/>
      <c r="E57" s="45"/>
      <c r="F57" s="12" t="str">
        <f>IF(Tabla4[[#This Row],[Artículo]]="","",IFERROR(_xlfn.XLOOKUP(Tabla4[[#This Row],[Artículo]],Tabla2[Artículo],Tabla2[Precio Unitario ARS],"",0,-1),""))</f>
        <v/>
      </c>
      <c r="G57" s="18" t="str">
        <f>IF(Tabla4[[#This Row],[Artículo]]="","",IFERROR(_xlfn.XLOOKUP(Tabla4[[#This Row],[Artículo]],Tabla2[Artículo],Tabla2[Proveedor],"",0,-1),""))</f>
        <v/>
      </c>
      <c r="H57" s="12" t="str" cm="1">
        <f t="array" ref="H57">IF(Tabla4[[#This Row],[Artículo]]="","",IFERROR(MIN(_xlfn._xlws.FILTER(Tabla2[Precio Unitario ARS],Tabla2[Artículo]=Tabla4[[#This Row],[Artículo]])),""))</f>
        <v/>
      </c>
      <c r="I57" s="12" t="str" cm="1">
        <f t="array" ref="I57">IF(Tabla4[[#This Row],[Artículo]]="","",IFERROR(_xlfn.XLOOKUP(1,(Tabla2[Artículo]=Tabla4[[#This Row],[Artículo]])*(Tabla2[Precio Unitario ARS]=Tabla4[[#This Row],[Mejor Precio]]),Tabla2[Proveedor]),""))</f>
        <v/>
      </c>
      <c r="J57" s="11" t="str">
        <f>IF(Tabla4[[#This Row],[Artículo]]="","",IFERROR((Tabla4[[#This Row],[Precio Cotizado]]-Tabla4[[#This Row],[Últ. Precio]])/Tabla4[[#This Row],[Últ. Precio]],""))</f>
        <v/>
      </c>
      <c r="K57" s="12" t="str">
        <f>IF(Tabla4[[#This Row],[Artículo]]="","",IFERROR(Tabla4[[#This Row],[Precio Cotizado]]-Tabla4[[#This Row],[Mejor Precio]],""))</f>
        <v/>
      </c>
      <c r="L57" s="13" t="str">
        <f>IF(Tabla4[[#This Row],[Artículo]]="","",IFERROR(Tabla4[[#This Row],[Dif por Unidad]]*Tabla4[[#This Row],[Cantidad]],""))</f>
        <v/>
      </c>
      <c r="M57" s="19" t="str">
        <f t="shared" si="1"/>
        <v/>
      </c>
      <c r="N57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58" spans="2:14" x14ac:dyDescent="0.25">
      <c r="B58"/>
      <c r="E58" s="45"/>
      <c r="F58" s="12" t="str">
        <f>IF(Tabla4[[#This Row],[Artículo]]="","",IFERROR(_xlfn.XLOOKUP(Tabla4[[#This Row],[Artículo]],Tabla2[Artículo],Tabla2[Precio Unitario ARS],"",0,-1),""))</f>
        <v/>
      </c>
      <c r="G58" s="18" t="str">
        <f>IF(Tabla4[[#This Row],[Artículo]]="","",IFERROR(_xlfn.XLOOKUP(Tabla4[[#This Row],[Artículo]],Tabla2[Artículo],Tabla2[Proveedor],"",0,-1),""))</f>
        <v/>
      </c>
      <c r="H58" s="12" t="str" cm="1">
        <f t="array" ref="H58">IF(Tabla4[[#This Row],[Artículo]]="","",IFERROR(MIN(_xlfn._xlws.FILTER(Tabla2[Precio Unitario ARS],Tabla2[Artículo]=Tabla4[[#This Row],[Artículo]])),""))</f>
        <v/>
      </c>
      <c r="I58" s="12" t="str" cm="1">
        <f t="array" ref="I58">IF(Tabla4[[#This Row],[Artículo]]="","",IFERROR(_xlfn.XLOOKUP(1,(Tabla2[Artículo]=Tabla4[[#This Row],[Artículo]])*(Tabla2[Precio Unitario ARS]=Tabla4[[#This Row],[Mejor Precio]]),Tabla2[Proveedor]),""))</f>
        <v/>
      </c>
      <c r="J58" s="11" t="str">
        <f>IF(Tabla4[[#This Row],[Artículo]]="","",IFERROR((Tabla4[[#This Row],[Precio Cotizado]]-Tabla4[[#This Row],[Últ. Precio]])/Tabla4[[#This Row],[Últ. Precio]],""))</f>
        <v/>
      </c>
      <c r="K58" s="12" t="str">
        <f>IF(Tabla4[[#This Row],[Artículo]]="","",IFERROR(Tabla4[[#This Row],[Precio Cotizado]]-Tabla4[[#This Row],[Mejor Precio]],""))</f>
        <v/>
      </c>
      <c r="L58" s="13" t="str">
        <f>IF(Tabla4[[#This Row],[Artículo]]="","",IFERROR(Tabla4[[#This Row],[Dif por Unidad]]*Tabla4[[#This Row],[Cantidad]],""))</f>
        <v/>
      </c>
      <c r="M58" s="19" t="str">
        <f t="shared" si="1"/>
        <v/>
      </c>
      <c r="N58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59" spans="2:14" x14ac:dyDescent="0.25">
      <c r="B59"/>
      <c r="E59" s="45"/>
      <c r="F59" s="12" t="str">
        <f>IF(Tabla4[[#This Row],[Artículo]]="","",IFERROR(_xlfn.XLOOKUP(Tabla4[[#This Row],[Artículo]],Tabla2[Artículo],Tabla2[Precio Unitario ARS],"",0,-1),""))</f>
        <v/>
      </c>
      <c r="G59" s="18" t="str">
        <f>IF(Tabla4[[#This Row],[Artículo]]="","",IFERROR(_xlfn.XLOOKUP(Tabla4[[#This Row],[Artículo]],Tabla2[Artículo],Tabla2[Proveedor],"",0,-1),""))</f>
        <v/>
      </c>
      <c r="H59" s="12" t="str" cm="1">
        <f t="array" ref="H59">IF(Tabla4[[#This Row],[Artículo]]="","",IFERROR(MIN(_xlfn._xlws.FILTER(Tabla2[Precio Unitario ARS],Tabla2[Artículo]=Tabla4[[#This Row],[Artículo]])),""))</f>
        <v/>
      </c>
      <c r="I59" s="12" t="str" cm="1">
        <f t="array" ref="I59">IF(Tabla4[[#This Row],[Artículo]]="","",IFERROR(_xlfn.XLOOKUP(1,(Tabla2[Artículo]=Tabla4[[#This Row],[Artículo]])*(Tabla2[Precio Unitario ARS]=Tabla4[[#This Row],[Mejor Precio]]),Tabla2[Proveedor]),""))</f>
        <v/>
      </c>
      <c r="J59" s="11" t="str">
        <f>IF(Tabla4[[#This Row],[Artículo]]="","",IFERROR((Tabla4[[#This Row],[Precio Cotizado]]-Tabla4[[#This Row],[Últ. Precio]])/Tabla4[[#This Row],[Últ. Precio]],""))</f>
        <v/>
      </c>
      <c r="K59" s="12" t="str">
        <f>IF(Tabla4[[#This Row],[Artículo]]="","",IFERROR(Tabla4[[#This Row],[Precio Cotizado]]-Tabla4[[#This Row],[Mejor Precio]],""))</f>
        <v/>
      </c>
      <c r="L59" s="13" t="str">
        <f>IF(Tabla4[[#This Row],[Artículo]]="","",IFERROR(Tabla4[[#This Row],[Dif por Unidad]]*Tabla4[[#This Row],[Cantidad]],""))</f>
        <v/>
      </c>
      <c r="M59" s="19" t="str">
        <f t="shared" si="1"/>
        <v/>
      </c>
      <c r="N59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60" spans="2:14" x14ac:dyDescent="0.25">
      <c r="B60"/>
      <c r="E60" s="45"/>
      <c r="F60" s="12" t="str">
        <f>IF(Tabla4[[#This Row],[Artículo]]="","",IFERROR(_xlfn.XLOOKUP(Tabla4[[#This Row],[Artículo]],Tabla2[Artículo],Tabla2[Precio Unitario ARS],"",0,-1),""))</f>
        <v/>
      </c>
      <c r="G60" s="18" t="str">
        <f>IF(Tabla4[[#This Row],[Artículo]]="","",IFERROR(_xlfn.XLOOKUP(Tabla4[[#This Row],[Artículo]],Tabla2[Artículo],Tabla2[Proveedor],"",0,-1),""))</f>
        <v/>
      </c>
      <c r="H60" s="12" t="str" cm="1">
        <f t="array" ref="H60">IF(Tabla4[[#This Row],[Artículo]]="","",IFERROR(MIN(_xlfn._xlws.FILTER(Tabla2[Precio Unitario ARS],Tabla2[Artículo]=Tabla4[[#This Row],[Artículo]])),""))</f>
        <v/>
      </c>
      <c r="I60" s="12" t="str" cm="1">
        <f t="array" ref="I60">IF(Tabla4[[#This Row],[Artículo]]="","",IFERROR(_xlfn.XLOOKUP(1,(Tabla2[Artículo]=Tabla4[[#This Row],[Artículo]])*(Tabla2[Precio Unitario ARS]=Tabla4[[#This Row],[Mejor Precio]]),Tabla2[Proveedor]),""))</f>
        <v/>
      </c>
      <c r="J60" s="11" t="str">
        <f>IF(Tabla4[[#This Row],[Artículo]]="","",IFERROR((Tabla4[[#This Row],[Precio Cotizado]]-Tabla4[[#This Row],[Últ. Precio]])/Tabla4[[#This Row],[Últ. Precio]],""))</f>
        <v/>
      </c>
      <c r="K60" s="12" t="str">
        <f>IF(Tabla4[[#This Row],[Artículo]]="","",IFERROR(Tabla4[[#This Row],[Precio Cotizado]]-Tabla4[[#This Row],[Mejor Precio]],""))</f>
        <v/>
      </c>
      <c r="L60" s="13" t="str">
        <f>IF(Tabla4[[#This Row],[Artículo]]="","",IFERROR(Tabla4[[#This Row],[Dif por Unidad]]*Tabla4[[#This Row],[Cantidad]],""))</f>
        <v/>
      </c>
      <c r="M60" s="19" t="str">
        <f t="shared" si="1"/>
        <v/>
      </c>
      <c r="N60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61" spans="2:14" x14ac:dyDescent="0.25">
      <c r="B61"/>
      <c r="E61" s="45"/>
      <c r="F61" s="12" t="str">
        <f>IF(Tabla4[[#This Row],[Artículo]]="","",IFERROR(_xlfn.XLOOKUP(Tabla4[[#This Row],[Artículo]],Tabla2[Artículo],Tabla2[Precio Unitario ARS],"",0,-1),""))</f>
        <v/>
      </c>
      <c r="G61" s="18" t="str">
        <f>IF(Tabla4[[#This Row],[Artículo]]="","",IFERROR(_xlfn.XLOOKUP(Tabla4[[#This Row],[Artículo]],Tabla2[Artículo],Tabla2[Proveedor],"",0,-1),""))</f>
        <v/>
      </c>
      <c r="H61" s="12" t="str" cm="1">
        <f t="array" ref="H61">IF(Tabla4[[#This Row],[Artículo]]="","",IFERROR(MIN(_xlfn._xlws.FILTER(Tabla2[Precio Unitario ARS],Tabla2[Artículo]=Tabla4[[#This Row],[Artículo]])),""))</f>
        <v/>
      </c>
      <c r="I61" s="12" t="str" cm="1">
        <f t="array" ref="I61">IF(Tabla4[[#This Row],[Artículo]]="","",IFERROR(_xlfn.XLOOKUP(1,(Tabla2[Artículo]=Tabla4[[#This Row],[Artículo]])*(Tabla2[Precio Unitario ARS]=Tabla4[[#This Row],[Mejor Precio]]),Tabla2[Proveedor]),""))</f>
        <v/>
      </c>
      <c r="J61" s="11" t="str">
        <f>IF(Tabla4[[#This Row],[Artículo]]="","",IFERROR((Tabla4[[#This Row],[Precio Cotizado]]-Tabla4[[#This Row],[Últ. Precio]])/Tabla4[[#This Row],[Últ. Precio]],""))</f>
        <v/>
      </c>
      <c r="K61" s="12" t="str">
        <f>IF(Tabla4[[#This Row],[Artículo]]="","",IFERROR(Tabla4[[#This Row],[Precio Cotizado]]-Tabla4[[#This Row],[Mejor Precio]],""))</f>
        <v/>
      </c>
      <c r="L61" s="13" t="str">
        <f>IF(Tabla4[[#This Row],[Artículo]]="","",IFERROR(Tabla4[[#This Row],[Dif por Unidad]]*Tabla4[[#This Row],[Cantidad]],""))</f>
        <v/>
      </c>
      <c r="M61" s="19" t="str">
        <f t="shared" si="1"/>
        <v/>
      </c>
      <c r="N61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62" spans="2:14" x14ac:dyDescent="0.25">
      <c r="B62"/>
      <c r="E62" s="45"/>
      <c r="F62" s="12" t="str">
        <f>IF(Tabla4[[#This Row],[Artículo]]="","",IFERROR(_xlfn.XLOOKUP(Tabla4[[#This Row],[Artículo]],Tabla2[Artículo],Tabla2[Precio Unitario ARS],"",0,-1),""))</f>
        <v/>
      </c>
      <c r="G62" s="18" t="str">
        <f>IF(Tabla4[[#This Row],[Artículo]]="","",IFERROR(_xlfn.XLOOKUP(Tabla4[[#This Row],[Artículo]],Tabla2[Artículo],Tabla2[Proveedor],"",0,-1),""))</f>
        <v/>
      </c>
      <c r="H62" s="12" t="str" cm="1">
        <f t="array" ref="H62">IF(Tabla4[[#This Row],[Artículo]]="","",IFERROR(MIN(_xlfn._xlws.FILTER(Tabla2[Precio Unitario ARS],Tabla2[Artículo]=Tabla4[[#This Row],[Artículo]])),""))</f>
        <v/>
      </c>
      <c r="I62" s="12" t="str" cm="1">
        <f t="array" ref="I62">IF(Tabla4[[#This Row],[Artículo]]="","",IFERROR(_xlfn.XLOOKUP(1,(Tabla2[Artículo]=Tabla4[[#This Row],[Artículo]])*(Tabla2[Precio Unitario ARS]=Tabla4[[#This Row],[Mejor Precio]]),Tabla2[Proveedor]),""))</f>
        <v/>
      </c>
      <c r="J62" s="11" t="str">
        <f>IF(Tabla4[[#This Row],[Artículo]]="","",IFERROR((Tabla4[[#This Row],[Precio Cotizado]]-Tabla4[[#This Row],[Últ. Precio]])/Tabla4[[#This Row],[Últ. Precio]],""))</f>
        <v/>
      </c>
      <c r="K62" s="12" t="str">
        <f>IF(Tabla4[[#This Row],[Artículo]]="","",IFERROR(Tabla4[[#This Row],[Precio Cotizado]]-Tabla4[[#This Row],[Mejor Precio]],""))</f>
        <v/>
      </c>
      <c r="L62" s="13" t="str">
        <f>IF(Tabla4[[#This Row],[Artículo]]="","",IFERROR(Tabla4[[#This Row],[Dif por Unidad]]*Tabla4[[#This Row],[Cantidad]],""))</f>
        <v/>
      </c>
      <c r="M62" s="19" t="str">
        <f t="shared" si="1"/>
        <v/>
      </c>
      <c r="N62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63" spans="2:14" x14ac:dyDescent="0.25">
      <c r="B63"/>
      <c r="E63" s="45"/>
      <c r="F63" s="12" t="str">
        <f>IF(Tabla4[[#This Row],[Artículo]]="","",IFERROR(_xlfn.XLOOKUP(Tabla4[[#This Row],[Artículo]],Tabla2[Artículo],Tabla2[Precio Unitario ARS],"",0,-1),""))</f>
        <v/>
      </c>
      <c r="G63" s="18" t="str">
        <f>IF(Tabla4[[#This Row],[Artículo]]="","",IFERROR(_xlfn.XLOOKUP(Tabla4[[#This Row],[Artículo]],Tabla2[Artículo],Tabla2[Proveedor],"",0,-1),""))</f>
        <v/>
      </c>
      <c r="H63" s="12" t="str" cm="1">
        <f t="array" ref="H63">IF(Tabla4[[#This Row],[Artículo]]="","",IFERROR(MIN(_xlfn._xlws.FILTER(Tabla2[Precio Unitario ARS],Tabla2[Artículo]=Tabla4[[#This Row],[Artículo]])),""))</f>
        <v/>
      </c>
      <c r="I63" s="12" t="str" cm="1">
        <f t="array" ref="I63">IF(Tabla4[[#This Row],[Artículo]]="","",IFERROR(_xlfn.XLOOKUP(1,(Tabla2[Artículo]=Tabla4[[#This Row],[Artículo]])*(Tabla2[Precio Unitario ARS]=Tabla4[[#This Row],[Mejor Precio]]),Tabla2[Proveedor]),""))</f>
        <v/>
      </c>
      <c r="J63" s="11" t="str">
        <f>IF(Tabla4[[#This Row],[Artículo]]="","",IFERROR((Tabla4[[#This Row],[Precio Cotizado]]-Tabla4[[#This Row],[Últ. Precio]])/Tabla4[[#This Row],[Últ. Precio]],""))</f>
        <v/>
      </c>
      <c r="K63" s="12" t="str">
        <f>IF(Tabla4[[#This Row],[Artículo]]="","",IFERROR(Tabla4[[#This Row],[Precio Cotizado]]-Tabla4[[#This Row],[Mejor Precio]],""))</f>
        <v/>
      </c>
      <c r="L63" s="13" t="str">
        <f>IF(Tabla4[[#This Row],[Artículo]]="","",IFERROR(Tabla4[[#This Row],[Dif por Unidad]]*Tabla4[[#This Row],[Cantidad]],""))</f>
        <v/>
      </c>
      <c r="M63" s="19" t="str">
        <f t="shared" si="1"/>
        <v/>
      </c>
      <c r="N63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64" spans="2:14" x14ac:dyDescent="0.25">
      <c r="E64" s="12"/>
      <c r="F64" s="12" t="str">
        <f>IF(Tabla4[[#This Row],[Artículo]]="","",IFERROR(_xlfn.XLOOKUP(Tabla4[[#This Row],[Artículo]],Tabla2[Artículo],Tabla2[Precio Unitario ARS],"",0,-1),""))</f>
        <v/>
      </c>
      <c r="G64" s="18" t="str">
        <f>IF(Tabla4[[#This Row],[Artículo]]="","",IFERROR(_xlfn.XLOOKUP(Tabla4[[#This Row],[Artículo]],Tabla2[Artículo],Tabla2[Proveedor],"",0,-1),""))</f>
        <v/>
      </c>
      <c r="H64" s="12" t="str" cm="1">
        <f t="array" ref="H64">IF(Tabla4[[#This Row],[Artículo]]="","",IFERROR(MIN(_xlfn._xlws.FILTER(Tabla2[Precio Unitario ARS],Tabla2[Artículo]=Tabla4[[#This Row],[Artículo]])),""))</f>
        <v/>
      </c>
      <c r="I64" s="12" t="str" cm="1">
        <f t="array" ref="I64">IF(Tabla4[[#This Row],[Artículo]]="","",IFERROR(_xlfn.XLOOKUP(1,(Tabla2[Artículo]=Tabla4[[#This Row],[Artículo]])*(Tabla2[Precio Unitario ARS]=Tabla4[[#This Row],[Mejor Precio]]),Tabla2[Proveedor]),""))</f>
        <v/>
      </c>
      <c r="J64" s="11" t="str">
        <f>IF(Tabla4[[#This Row],[Artículo]]="","",IFERROR((Tabla4[[#This Row],[Precio Cotizado]]-Tabla4[[#This Row],[Últ. Precio]])/Tabla4[[#This Row],[Últ. Precio]],""))</f>
        <v/>
      </c>
      <c r="K64" s="12" t="str">
        <f>IF(Tabla4[[#This Row],[Artículo]]="","",IFERROR(Tabla4[[#This Row],[Precio Cotizado]]-Tabla4[[#This Row],[Mejor Precio]],""))</f>
        <v/>
      </c>
      <c r="L64" s="13" t="str">
        <f>IF(Tabla4[[#This Row],[Artículo]]="","",IFERROR(Tabla4[[#This Row],[Dif por Unidad]]*Tabla4[[#This Row],[Cantidad]],""))</f>
        <v/>
      </c>
      <c r="M64" s="19" t="str">
        <f t="shared" si="1"/>
        <v/>
      </c>
      <c r="N64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65" spans="5:14" x14ac:dyDescent="0.25">
      <c r="E65" s="12"/>
      <c r="F65" s="12" t="str">
        <f>IF(Tabla4[[#This Row],[Artículo]]="","",IFERROR(_xlfn.XLOOKUP(Tabla4[[#This Row],[Artículo]],Tabla2[Artículo],Tabla2[Precio Unitario ARS],"",0,-1),""))</f>
        <v/>
      </c>
      <c r="G65" s="18" t="str">
        <f>IF(Tabla4[[#This Row],[Artículo]]="","",IFERROR(_xlfn.XLOOKUP(Tabla4[[#This Row],[Artículo]],Tabla2[Artículo],Tabla2[Proveedor],"",0,-1),""))</f>
        <v/>
      </c>
      <c r="H65" s="12" t="str" cm="1">
        <f t="array" ref="H65">IF(Tabla4[[#This Row],[Artículo]]="","",IFERROR(MIN(_xlfn._xlws.FILTER(Tabla2[Precio Unitario ARS],Tabla2[Artículo]=Tabla4[[#This Row],[Artículo]])),""))</f>
        <v/>
      </c>
      <c r="I65" s="12" t="str" cm="1">
        <f t="array" ref="I65">IF(Tabla4[[#This Row],[Artículo]]="","",IFERROR(_xlfn.XLOOKUP(1,(Tabla2[Artículo]=Tabla4[[#This Row],[Artículo]])*(Tabla2[Precio Unitario ARS]=Tabla4[[#This Row],[Mejor Precio]]),Tabla2[Proveedor]),""))</f>
        <v/>
      </c>
      <c r="J65" s="11" t="str">
        <f>IF(Tabla4[[#This Row],[Artículo]]="","",IFERROR((Tabla4[[#This Row],[Precio Cotizado]]-Tabla4[[#This Row],[Últ. Precio]])/Tabla4[[#This Row],[Últ. Precio]],""))</f>
        <v/>
      </c>
      <c r="K65" s="12" t="str">
        <f>IF(Tabla4[[#This Row],[Artículo]]="","",IFERROR(Tabla4[[#This Row],[Precio Cotizado]]-Tabla4[[#This Row],[Mejor Precio]],""))</f>
        <v/>
      </c>
      <c r="L65" s="13" t="str">
        <f>IF(Tabla4[[#This Row],[Artículo]]="","",IFERROR(Tabla4[[#This Row],[Dif por Unidad]]*Tabla4[[#This Row],[Cantidad]],""))</f>
        <v/>
      </c>
      <c r="M65" s="19" t="str">
        <f t="shared" si="1"/>
        <v/>
      </c>
      <c r="N65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66" spans="5:14" x14ac:dyDescent="0.25">
      <c r="E66" s="12"/>
      <c r="F66" s="12" t="str">
        <f>IF(Tabla4[[#This Row],[Artículo]]="","",IFERROR(_xlfn.XLOOKUP(Tabla4[[#This Row],[Artículo]],Tabla2[Artículo],Tabla2[Precio Unitario ARS],"",0,-1),""))</f>
        <v/>
      </c>
      <c r="G66" s="18" t="str">
        <f>IF(Tabla4[[#This Row],[Artículo]]="","",IFERROR(_xlfn.XLOOKUP(Tabla4[[#This Row],[Artículo]],Tabla2[Artículo],Tabla2[Proveedor],"",0,-1),""))</f>
        <v/>
      </c>
      <c r="H66" s="12" t="str" cm="1">
        <f t="array" ref="H66">IF(Tabla4[[#This Row],[Artículo]]="","",IFERROR(MIN(_xlfn._xlws.FILTER(Tabla2[Precio Unitario ARS],Tabla2[Artículo]=Tabla4[[#This Row],[Artículo]])),""))</f>
        <v/>
      </c>
      <c r="I66" s="12" t="str" cm="1">
        <f t="array" ref="I66">IF(Tabla4[[#This Row],[Artículo]]="","",IFERROR(_xlfn.XLOOKUP(1,(Tabla2[Artículo]=Tabla4[[#This Row],[Artículo]])*(Tabla2[Precio Unitario ARS]=Tabla4[[#This Row],[Mejor Precio]]),Tabla2[Proveedor]),""))</f>
        <v/>
      </c>
      <c r="J66" s="11" t="str">
        <f>IF(Tabla4[[#This Row],[Artículo]]="","",IFERROR((Tabla4[[#This Row],[Precio Cotizado]]-Tabla4[[#This Row],[Últ. Precio]])/Tabla4[[#This Row],[Últ. Precio]],""))</f>
        <v/>
      </c>
      <c r="K66" s="12" t="str">
        <f>IF(Tabla4[[#This Row],[Artículo]]="","",IFERROR(Tabla4[[#This Row],[Precio Cotizado]]-Tabla4[[#This Row],[Mejor Precio]],""))</f>
        <v/>
      </c>
      <c r="L66" s="13" t="str">
        <f>IF(Tabla4[[#This Row],[Artículo]]="","",IFERROR(Tabla4[[#This Row],[Dif por Unidad]]*Tabla4[[#This Row],[Cantidad]],""))</f>
        <v/>
      </c>
      <c r="M66" s="19" t="str">
        <f t="shared" ref="M66:M97" si="2">IF(B66="","",IF(J66&lt;0,"Más barato",IF(J66&lt;=5%,"Dentro del rango",IF(J66&lt;=15%,"Revisar","Precio alto"))))</f>
        <v/>
      </c>
      <c r="N66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67" spans="5:14" x14ac:dyDescent="0.25">
      <c r="E67" s="12"/>
      <c r="F67" s="12" t="str">
        <f>IF(Tabla4[[#This Row],[Artículo]]="","",IFERROR(_xlfn.XLOOKUP(Tabla4[[#This Row],[Artículo]],Tabla2[Artículo],Tabla2[Precio Unitario ARS],"",0,-1),""))</f>
        <v/>
      </c>
      <c r="G67" s="18" t="str">
        <f>IF(Tabla4[[#This Row],[Artículo]]="","",IFERROR(_xlfn.XLOOKUP(Tabla4[[#This Row],[Artículo]],Tabla2[Artículo],Tabla2[Proveedor],"",0,-1),""))</f>
        <v/>
      </c>
      <c r="H67" s="12" t="str" cm="1">
        <f t="array" ref="H67">IF(Tabla4[[#This Row],[Artículo]]="","",IFERROR(MIN(_xlfn._xlws.FILTER(Tabla2[Precio Unitario ARS],Tabla2[Artículo]=Tabla4[[#This Row],[Artículo]])),""))</f>
        <v/>
      </c>
      <c r="I67" s="12" t="str" cm="1">
        <f t="array" ref="I67">IF(Tabla4[[#This Row],[Artículo]]="","",IFERROR(_xlfn.XLOOKUP(1,(Tabla2[Artículo]=Tabla4[[#This Row],[Artículo]])*(Tabla2[Precio Unitario ARS]=Tabla4[[#This Row],[Mejor Precio]]),Tabla2[Proveedor]),""))</f>
        <v/>
      </c>
      <c r="J67" s="11" t="str">
        <f>IF(Tabla4[[#This Row],[Artículo]]="","",IFERROR((Tabla4[[#This Row],[Precio Cotizado]]-Tabla4[[#This Row],[Últ. Precio]])/Tabla4[[#This Row],[Últ. Precio]],""))</f>
        <v/>
      </c>
      <c r="K67" s="12" t="str">
        <f>IF(Tabla4[[#This Row],[Artículo]]="","",IFERROR(Tabla4[[#This Row],[Precio Cotizado]]-Tabla4[[#This Row],[Mejor Precio]],""))</f>
        <v/>
      </c>
      <c r="L67" s="13" t="str">
        <f>IF(Tabla4[[#This Row],[Artículo]]="","",IFERROR(Tabla4[[#This Row],[Dif por Unidad]]*Tabla4[[#This Row],[Cantidad]],""))</f>
        <v/>
      </c>
      <c r="M67" s="19" t="str">
        <f t="shared" si="2"/>
        <v/>
      </c>
      <c r="N67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68" spans="5:14" x14ac:dyDescent="0.25">
      <c r="E68" s="12"/>
      <c r="F68" s="12" t="str">
        <f>IF(Tabla4[[#This Row],[Artículo]]="","",IFERROR(_xlfn.XLOOKUP(Tabla4[[#This Row],[Artículo]],Tabla2[Artículo],Tabla2[Precio Unitario ARS],"",0,-1),""))</f>
        <v/>
      </c>
      <c r="G68" s="18" t="str">
        <f>IF(Tabla4[[#This Row],[Artículo]]="","",IFERROR(_xlfn.XLOOKUP(Tabla4[[#This Row],[Artículo]],Tabla2[Artículo],Tabla2[Proveedor],"",0,-1),""))</f>
        <v/>
      </c>
      <c r="H68" s="12" t="str" cm="1">
        <f t="array" ref="H68">IF(Tabla4[[#This Row],[Artículo]]="","",IFERROR(MIN(_xlfn._xlws.FILTER(Tabla2[Precio Unitario ARS],Tabla2[Artículo]=Tabla4[[#This Row],[Artículo]])),""))</f>
        <v/>
      </c>
      <c r="I68" s="12" t="str" cm="1">
        <f t="array" ref="I68">IF(Tabla4[[#This Row],[Artículo]]="","",IFERROR(_xlfn.XLOOKUP(1,(Tabla2[Artículo]=Tabla4[[#This Row],[Artículo]])*(Tabla2[Precio Unitario ARS]=Tabla4[[#This Row],[Mejor Precio]]),Tabla2[Proveedor]),""))</f>
        <v/>
      </c>
      <c r="J68" s="11" t="str">
        <f>IF(Tabla4[[#This Row],[Artículo]]="","",IFERROR((Tabla4[[#This Row],[Precio Cotizado]]-Tabla4[[#This Row],[Últ. Precio]])/Tabla4[[#This Row],[Últ. Precio]],""))</f>
        <v/>
      </c>
      <c r="K68" s="12" t="str">
        <f>IF(Tabla4[[#This Row],[Artículo]]="","",IFERROR(Tabla4[[#This Row],[Precio Cotizado]]-Tabla4[[#This Row],[Mejor Precio]],""))</f>
        <v/>
      </c>
      <c r="L68" s="13" t="str">
        <f>IF(Tabla4[[#This Row],[Artículo]]="","",IFERROR(Tabla4[[#This Row],[Dif por Unidad]]*Tabla4[[#This Row],[Cantidad]],""))</f>
        <v/>
      </c>
      <c r="M68" s="19" t="str">
        <f t="shared" si="2"/>
        <v/>
      </c>
      <c r="N68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69" spans="5:14" x14ac:dyDescent="0.25">
      <c r="E69" s="12"/>
      <c r="F69" s="12" t="str">
        <f>IF(Tabla4[[#This Row],[Artículo]]="","",IFERROR(_xlfn.XLOOKUP(Tabla4[[#This Row],[Artículo]],Tabla2[Artículo],Tabla2[Precio Unitario ARS],"",0,-1),""))</f>
        <v/>
      </c>
      <c r="G69" s="18" t="str">
        <f>IF(Tabla4[[#This Row],[Artículo]]="","",IFERROR(_xlfn.XLOOKUP(Tabla4[[#This Row],[Artículo]],Tabla2[Artículo],Tabla2[Proveedor],"",0,-1),""))</f>
        <v/>
      </c>
      <c r="H69" s="12" t="str" cm="1">
        <f t="array" ref="H69">IF(Tabla4[[#This Row],[Artículo]]="","",IFERROR(MIN(_xlfn._xlws.FILTER(Tabla2[Precio Unitario ARS],Tabla2[Artículo]=Tabla4[[#This Row],[Artículo]])),""))</f>
        <v/>
      </c>
      <c r="I69" s="12" t="str" cm="1">
        <f t="array" ref="I69">IF(Tabla4[[#This Row],[Artículo]]="","",IFERROR(_xlfn.XLOOKUP(1,(Tabla2[Artículo]=Tabla4[[#This Row],[Artículo]])*(Tabla2[Precio Unitario ARS]=Tabla4[[#This Row],[Mejor Precio]]),Tabla2[Proveedor]),""))</f>
        <v/>
      </c>
      <c r="J69" s="11" t="str">
        <f>IF(Tabla4[[#This Row],[Artículo]]="","",IFERROR((Tabla4[[#This Row],[Precio Cotizado]]-Tabla4[[#This Row],[Últ. Precio]])/Tabla4[[#This Row],[Últ. Precio]],""))</f>
        <v/>
      </c>
      <c r="K69" s="12" t="str">
        <f>IF(Tabla4[[#This Row],[Artículo]]="","",IFERROR(Tabla4[[#This Row],[Precio Cotizado]]-Tabla4[[#This Row],[Mejor Precio]],""))</f>
        <v/>
      </c>
      <c r="L69" s="13" t="str">
        <f>IF(Tabla4[[#This Row],[Artículo]]="","",IFERROR(Tabla4[[#This Row],[Dif por Unidad]]*Tabla4[[#This Row],[Cantidad]],""))</f>
        <v/>
      </c>
      <c r="M69" s="19" t="str">
        <f t="shared" si="2"/>
        <v/>
      </c>
      <c r="N69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70" spans="5:14" x14ac:dyDescent="0.25">
      <c r="E70" s="12"/>
      <c r="F70" s="12" t="str">
        <f>IF(Tabla4[[#This Row],[Artículo]]="","",IFERROR(_xlfn.XLOOKUP(Tabla4[[#This Row],[Artículo]],Tabla2[Artículo],Tabla2[Precio Unitario ARS],"",0,-1),""))</f>
        <v/>
      </c>
      <c r="G70" s="18" t="str">
        <f>IF(Tabla4[[#This Row],[Artículo]]="","",IFERROR(_xlfn.XLOOKUP(Tabla4[[#This Row],[Artículo]],Tabla2[Artículo],Tabla2[Proveedor],"",0,-1),""))</f>
        <v/>
      </c>
      <c r="H70" s="12" t="str" cm="1">
        <f t="array" ref="H70">IF(Tabla4[[#This Row],[Artículo]]="","",IFERROR(MIN(_xlfn._xlws.FILTER(Tabla2[Precio Unitario ARS],Tabla2[Artículo]=Tabla4[[#This Row],[Artículo]])),""))</f>
        <v/>
      </c>
      <c r="I70" s="12" t="str" cm="1">
        <f t="array" ref="I70">IF(Tabla4[[#This Row],[Artículo]]="","",IFERROR(_xlfn.XLOOKUP(1,(Tabla2[Artículo]=Tabla4[[#This Row],[Artículo]])*(Tabla2[Precio Unitario ARS]=Tabla4[[#This Row],[Mejor Precio]]),Tabla2[Proveedor]),""))</f>
        <v/>
      </c>
      <c r="J70" s="11" t="str">
        <f>IF(Tabla4[[#This Row],[Artículo]]="","",IFERROR((Tabla4[[#This Row],[Precio Cotizado]]-Tabla4[[#This Row],[Últ. Precio]])/Tabla4[[#This Row],[Últ. Precio]],""))</f>
        <v/>
      </c>
      <c r="K70" s="12" t="str">
        <f>IF(Tabla4[[#This Row],[Artículo]]="","",IFERROR(Tabla4[[#This Row],[Precio Cotizado]]-Tabla4[[#This Row],[Mejor Precio]],""))</f>
        <v/>
      </c>
      <c r="L70" s="13" t="str">
        <f>IF(Tabla4[[#This Row],[Artículo]]="","",IFERROR(Tabla4[[#This Row],[Dif por Unidad]]*Tabla4[[#This Row],[Cantidad]],""))</f>
        <v/>
      </c>
      <c r="M70" s="19" t="str">
        <f t="shared" si="2"/>
        <v/>
      </c>
      <c r="N70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71" spans="5:14" x14ac:dyDescent="0.25">
      <c r="E71" s="12"/>
      <c r="F71" s="12" t="str">
        <f>IF(Tabla4[[#This Row],[Artículo]]="","",IFERROR(_xlfn.XLOOKUP(Tabla4[[#This Row],[Artículo]],Tabla2[Artículo],Tabla2[Precio Unitario ARS],"",0,-1),""))</f>
        <v/>
      </c>
      <c r="G71" s="18" t="str">
        <f>IF(Tabla4[[#This Row],[Artículo]]="","",IFERROR(_xlfn.XLOOKUP(Tabla4[[#This Row],[Artículo]],Tabla2[Artículo],Tabla2[Proveedor],"",0,-1),""))</f>
        <v/>
      </c>
      <c r="H71" s="12" t="str" cm="1">
        <f t="array" ref="H71">IF(Tabla4[[#This Row],[Artículo]]="","",IFERROR(MIN(_xlfn._xlws.FILTER(Tabla2[Precio Unitario ARS],Tabla2[Artículo]=Tabla4[[#This Row],[Artículo]])),""))</f>
        <v/>
      </c>
      <c r="I71" s="12" t="str" cm="1">
        <f t="array" ref="I71">IF(Tabla4[[#This Row],[Artículo]]="","",IFERROR(_xlfn.XLOOKUP(1,(Tabla2[Artículo]=Tabla4[[#This Row],[Artículo]])*(Tabla2[Precio Unitario ARS]=Tabla4[[#This Row],[Mejor Precio]]),Tabla2[Proveedor]),""))</f>
        <v/>
      </c>
      <c r="J71" s="11" t="str">
        <f>IF(Tabla4[[#This Row],[Artículo]]="","",IFERROR((Tabla4[[#This Row],[Precio Cotizado]]-Tabla4[[#This Row],[Últ. Precio]])/Tabla4[[#This Row],[Últ. Precio]],""))</f>
        <v/>
      </c>
      <c r="K71" s="12" t="str">
        <f>IF(Tabla4[[#This Row],[Artículo]]="","",IFERROR(Tabla4[[#This Row],[Precio Cotizado]]-Tabla4[[#This Row],[Mejor Precio]],""))</f>
        <v/>
      </c>
      <c r="L71" s="13" t="str">
        <f>IF(Tabla4[[#This Row],[Artículo]]="","",IFERROR(Tabla4[[#This Row],[Dif por Unidad]]*Tabla4[[#This Row],[Cantidad]],""))</f>
        <v/>
      </c>
      <c r="M71" s="19" t="str">
        <f t="shared" si="2"/>
        <v/>
      </c>
      <c r="N71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72" spans="5:14" x14ac:dyDescent="0.25">
      <c r="E72" s="12"/>
      <c r="F72" s="12" t="str">
        <f>IF(Tabla4[[#This Row],[Artículo]]="","",IFERROR(_xlfn.XLOOKUP(Tabla4[[#This Row],[Artículo]],Tabla2[Artículo],Tabla2[Precio Unitario ARS],"",0,-1),""))</f>
        <v/>
      </c>
      <c r="G72" s="18" t="str">
        <f>IF(Tabla4[[#This Row],[Artículo]]="","",IFERROR(_xlfn.XLOOKUP(Tabla4[[#This Row],[Artículo]],Tabla2[Artículo],Tabla2[Proveedor],"",0,-1),""))</f>
        <v/>
      </c>
      <c r="H72" s="12" t="str" cm="1">
        <f t="array" ref="H72">IF(Tabla4[[#This Row],[Artículo]]="","",IFERROR(MIN(_xlfn._xlws.FILTER(Tabla2[Precio Unitario ARS],Tabla2[Artículo]=Tabla4[[#This Row],[Artículo]])),""))</f>
        <v/>
      </c>
      <c r="I72" s="12" t="str" cm="1">
        <f t="array" ref="I72">IF(Tabla4[[#This Row],[Artículo]]="","",IFERROR(_xlfn.XLOOKUP(1,(Tabla2[Artículo]=Tabla4[[#This Row],[Artículo]])*(Tabla2[Precio Unitario ARS]=Tabla4[[#This Row],[Mejor Precio]]),Tabla2[Proveedor]),""))</f>
        <v/>
      </c>
      <c r="J72" s="11" t="str">
        <f>IF(Tabla4[[#This Row],[Artículo]]="","",IFERROR((Tabla4[[#This Row],[Precio Cotizado]]-Tabla4[[#This Row],[Últ. Precio]])/Tabla4[[#This Row],[Últ. Precio]],""))</f>
        <v/>
      </c>
      <c r="K72" s="12" t="str">
        <f>IF(Tabla4[[#This Row],[Artículo]]="","",IFERROR(Tabla4[[#This Row],[Precio Cotizado]]-Tabla4[[#This Row],[Mejor Precio]],""))</f>
        <v/>
      </c>
      <c r="L72" s="13" t="str">
        <f>IF(Tabla4[[#This Row],[Artículo]]="","",IFERROR(Tabla4[[#This Row],[Dif por Unidad]]*Tabla4[[#This Row],[Cantidad]],""))</f>
        <v/>
      </c>
      <c r="M72" s="19" t="str">
        <f t="shared" si="2"/>
        <v/>
      </c>
      <c r="N72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73" spans="5:14" x14ac:dyDescent="0.25">
      <c r="E73" s="12"/>
      <c r="F73" s="12" t="str">
        <f>IF(Tabla4[[#This Row],[Artículo]]="","",IFERROR(_xlfn.XLOOKUP(Tabla4[[#This Row],[Artículo]],Tabla2[Artículo],Tabla2[Precio Unitario ARS],"",0,-1),""))</f>
        <v/>
      </c>
      <c r="G73" s="18" t="str">
        <f>IF(Tabla4[[#This Row],[Artículo]]="","",IFERROR(_xlfn.XLOOKUP(Tabla4[[#This Row],[Artículo]],Tabla2[Artículo],Tabla2[Proveedor],"",0,-1),""))</f>
        <v/>
      </c>
      <c r="H73" s="12" t="str" cm="1">
        <f t="array" ref="H73">IF(Tabla4[[#This Row],[Artículo]]="","",IFERROR(MIN(_xlfn._xlws.FILTER(Tabla2[Precio Unitario ARS],Tabla2[Artículo]=Tabla4[[#This Row],[Artículo]])),""))</f>
        <v/>
      </c>
      <c r="I73" s="12" t="str" cm="1">
        <f t="array" ref="I73">IF(Tabla4[[#This Row],[Artículo]]="","",IFERROR(_xlfn.XLOOKUP(1,(Tabla2[Artículo]=Tabla4[[#This Row],[Artículo]])*(Tabla2[Precio Unitario ARS]=Tabla4[[#This Row],[Mejor Precio]]),Tabla2[Proveedor]),""))</f>
        <v/>
      </c>
      <c r="J73" s="11" t="str">
        <f>IF(Tabla4[[#This Row],[Artículo]]="","",IFERROR((Tabla4[[#This Row],[Precio Cotizado]]-Tabla4[[#This Row],[Últ. Precio]])/Tabla4[[#This Row],[Últ. Precio]],""))</f>
        <v/>
      </c>
      <c r="K73" s="12" t="str">
        <f>IF(Tabla4[[#This Row],[Artículo]]="","",IFERROR(Tabla4[[#This Row],[Precio Cotizado]]-Tabla4[[#This Row],[Mejor Precio]],""))</f>
        <v/>
      </c>
      <c r="L73" s="13" t="str">
        <f>IF(Tabla4[[#This Row],[Artículo]]="","",IFERROR(Tabla4[[#This Row],[Dif por Unidad]]*Tabla4[[#This Row],[Cantidad]],""))</f>
        <v/>
      </c>
      <c r="M73" s="19" t="str">
        <f t="shared" si="2"/>
        <v/>
      </c>
      <c r="N73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74" spans="5:14" x14ac:dyDescent="0.25">
      <c r="E74" s="12"/>
      <c r="F74" s="12" t="str">
        <f>IF(Tabla4[[#This Row],[Artículo]]="","",IFERROR(_xlfn.XLOOKUP(Tabla4[[#This Row],[Artículo]],Tabla2[Artículo],Tabla2[Precio Unitario ARS],"",0,-1),""))</f>
        <v/>
      </c>
      <c r="G74" s="18" t="str">
        <f>IF(Tabla4[[#This Row],[Artículo]]="","",IFERROR(_xlfn.XLOOKUP(Tabla4[[#This Row],[Artículo]],Tabla2[Artículo],Tabla2[Proveedor],"",0,-1),""))</f>
        <v/>
      </c>
      <c r="H74" s="12" t="str" cm="1">
        <f t="array" ref="H74">IF(Tabla4[[#This Row],[Artículo]]="","",IFERROR(MIN(_xlfn._xlws.FILTER(Tabla2[Precio Unitario ARS],Tabla2[Artículo]=Tabla4[[#This Row],[Artículo]])),""))</f>
        <v/>
      </c>
      <c r="I74" s="12" t="str" cm="1">
        <f t="array" ref="I74">IF(Tabla4[[#This Row],[Artículo]]="","",IFERROR(_xlfn.XLOOKUP(1,(Tabla2[Artículo]=Tabla4[[#This Row],[Artículo]])*(Tabla2[Precio Unitario ARS]=Tabla4[[#This Row],[Mejor Precio]]),Tabla2[Proveedor]),""))</f>
        <v/>
      </c>
      <c r="J74" s="11" t="str">
        <f>IF(Tabla4[[#This Row],[Artículo]]="","",IFERROR((Tabla4[[#This Row],[Precio Cotizado]]-Tabla4[[#This Row],[Últ. Precio]])/Tabla4[[#This Row],[Últ. Precio]],""))</f>
        <v/>
      </c>
      <c r="K74" s="12" t="str">
        <f>IF(Tabla4[[#This Row],[Artículo]]="","",IFERROR(Tabla4[[#This Row],[Precio Cotizado]]-Tabla4[[#This Row],[Mejor Precio]],""))</f>
        <v/>
      </c>
      <c r="L74" s="13" t="str">
        <f>IF(Tabla4[[#This Row],[Artículo]]="","",IFERROR(Tabla4[[#This Row],[Dif por Unidad]]*Tabla4[[#This Row],[Cantidad]],""))</f>
        <v/>
      </c>
      <c r="M74" s="19" t="str">
        <f t="shared" si="2"/>
        <v/>
      </c>
      <c r="N74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75" spans="5:14" x14ac:dyDescent="0.25">
      <c r="E75" s="12"/>
      <c r="F75" s="12" t="str">
        <f>IF(Tabla4[[#This Row],[Artículo]]="","",IFERROR(_xlfn.XLOOKUP(Tabla4[[#This Row],[Artículo]],Tabla2[Artículo],Tabla2[Precio Unitario ARS],"",0,-1),""))</f>
        <v/>
      </c>
      <c r="G75" s="18" t="str">
        <f>IF(Tabla4[[#This Row],[Artículo]]="","",IFERROR(_xlfn.XLOOKUP(Tabla4[[#This Row],[Artículo]],Tabla2[Artículo],Tabla2[Proveedor],"",0,-1),""))</f>
        <v/>
      </c>
      <c r="H75" s="12" t="str" cm="1">
        <f t="array" ref="H75">IF(Tabla4[[#This Row],[Artículo]]="","",IFERROR(MIN(_xlfn._xlws.FILTER(Tabla2[Precio Unitario ARS],Tabla2[Artículo]=Tabla4[[#This Row],[Artículo]])),""))</f>
        <v/>
      </c>
      <c r="I75" s="12" t="str" cm="1">
        <f t="array" ref="I75">IF(Tabla4[[#This Row],[Artículo]]="","",IFERROR(_xlfn.XLOOKUP(1,(Tabla2[Artículo]=Tabla4[[#This Row],[Artículo]])*(Tabla2[Precio Unitario ARS]=Tabla4[[#This Row],[Mejor Precio]]),Tabla2[Proveedor]),""))</f>
        <v/>
      </c>
      <c r="J75" s="11" t="str">
        <f>IF(Tabla4[[#This Row],[Artículo]]="","",IFERROR((Tabla4[[#This Row],[Precio Cotizado]]-Tabla4[[#This Row],[Últ. Precio]])/Tabla4[[#This Row],[Últ. Precio]],""))</f>
        <v/>
      </c>
      <c r="K75" s="12" t="str">
        <f>IF(Tabla4[[#This Row],[Artículo]]="","",IFERROR(Tabla4[[#This Row],[Precio Cotizado]]-Tabla4[[#This Row],[Mejor Precio]],""))</f>
        <v/>
      </c>
      <c r="L75" s="13" t="str">
        <f>IF(Tabla4[[#This Row],[Artículo]]="","",IFERROR(Tabla4[[#This Row],[Dif por Unidad]]*Tabla4[[#This Row],[Cantidad]],""))</f>
        <v/>
      </c>
      <c r="M75" s="19" t="str">
        <f t="shared" si="2"/>
        <v/>
      </c>
      <c r="N75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76" spans="5:14" x14ac:dyDescent="0.25">
      <c r="E76" s="12"/>
      <c r="F76" s="12" t="str">
        <f>IF(Tabla4[[#This Row],[Artículo]]="","",IFERROR(_xlfn.XLOOKUP(Tabla4[[#This Row],[Artículo]],Tabla2[Artículo],Tabla2[Precio Unitario ARS],"",0,-1),""))</f>
        <v/>
      </c>
      <c r="G76" s="18" t="str">
        <f>IF(Tabla4[[#This Row],[Artículo]]="","",IFERROR(_xlfn.XLOOKUP(Tabla4[[#This Row],[Artículo]],Tabla2[Artículo],Tabla2[Proveedor],"",0,-1),""))</f>
        <v/>
      </c>
      <c r="H76" s="12" t="str" cm="1">
        <f t="array" ref="H76">IF(Tabla4[[#This Row],[Artículo]]="","",IFERROR(MIN(_xlfn._xlws.FILTER(Tabla2[Precio Unitario ARS],Tabla2[Artículo]=Tabla4[[#This Row],[Artículo]])),""))</f>
        <v/>
      </c>
      <c r="I76" s="12" t="str" cm="1">
        <f t="array" ref="I76">IF(Tabla4[[#This Row],[Artículo]]="","",IFERROR(_xlfn.XLOOKUP(1,(Tabla2[Artículo]=Tabla4[[#This Row],[Artículo]])*(Tabla2[Precio Unitario ARS]=Tabla4[[#This Row],[Mejor Precio]]),Tabla2[Proveedor]),""))</f>
        <v/>
      </c>
      <c r="J76" s="11" t="str">
        <f>IF(Tabla4[[#This Row],[Artículo]]="","",IFERROR((Tabla4[[#This Row],[Precio Cotizado]]-Tabla4[[#This Row],[Últ. Precio]])/Tabla4[[#This Row],[Últ. Precio]],""))</f>
        <v/>
      </c>
      <c r="K76" s="12" t="str">
        <f>IF(Tabla4[[#This Row],[Artículo]]="","",IFERROR(Tabla4[[#This Row],[Precio Cotizado]]-Tabla4[[#This Row],[Mejor Precio]],""))</f>
        <v/>
      </c>
      <c r="L76" s="13" t="str">
        <f>IF(Tabla4[[#This Row],[Artículo]]="","",IFERROR(Tabla4[[#This Row],[Dif por Unidad]]*Tabla4[[#This Row],[Cantidad]],""))</f>
        <v/>
      </c>
      <c r="M76" s="19" t="str">
        <f t="shared" si="2"/>
        <v/>
      </c>
      <c r="N76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77" spans="5:14" x14ac:dyDescent="0.25">
      <c r="E77" s="12"/>
      <c r="F77" s="12" t="str">
        <f>IF(Tabla4[[#This Row],[Artículo]]="","",IFERROR(_xlfn.XLOOKUP(Tabla4[[#This Row],[Artículo]],Tabla2[Artículo],Tabla2[Precio Unitario ARS],"",0,-1),""))</f>
        <v/>
      </c>
      <c r="G77" s="18" t="str">
        <f>IF(Tabla4[[#This Row],[Artículo]]="","",IFERROR(_xlfn.XLOOKUP(Tabla4[[#This Row],[Artículo]],Tabla2[Artículo],Tabla2[Proveedor],"",0,-1),""))</f>
        <v/>
      </c>
      <c r="H77" s="12" t="str" cm="1">
        <f t="array" ref="H77">IF(Tabla4[[#This Row],[Artículo]]="","",IFERROR(MIN(_xlfn._xlws.FILTER(Tabla2[Precio Unitario ARS],Tabla2[Artículo]=Tabla4[[#This Row],[Artículo]])),""))</f>
        <v/>
      </c>
      <c r="I77" s="12" t="str" cm="1">
        <f t="array" ref="I77">IF(Tabla4[[#This Row],[Artículo]]="","",IFERROR(_xlfn.XLOOKUP(1,(Tabla2[Artículo]=Tabla4[[#This Row],[Artículo]])*(Tabla2[Precio Unitario ARS]=Tabla4[[#This Row],[Mejor Precio]]),Tabla2[Proveedor]),""))</f>
        <v/>
      </c>
      <c r="J77" s="11" t="str">
        <f>IF(Tabla4[[#This Row],[Artículo]]="","",IFERROR((Tabla4[[#This Row],[Precio Cotizado]]-Tabla4[[#This Row],[Últ. Precio]])/Tabla4[[#This Row],[Últ. Precio]],""))</f>
        <v/>
      </c>
      <c r="K77" s="12" t="str">
        <f>IF(Tabla4[[#This Row],[Artículo]]="","",IFERROR(Tabla4[[#This Row],[Precio Cotizado]]-Tabla4[[#This Row],[Mejor Precio]],""))</f>
        <v/>
      </c>
      <c r="L77" s="13" t="str">
        <f>IF(Tabla4[[#This Row],[Artículo]]="","",IFERROR(Tabla4[[#This Row],[Dif por Unidad]]*Tabla4[[#This Row],[Cantidad]],""))</f>
        <v/>
      </c>
      <c r="M77" s="19" t="str">
        <f t="shared" si="2"/>
        <v/>
      </c>
      <c r="N77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78" spans="5:14" x14ac:dyDescent="0.25">
      <c r="E78" s="12"/>
      <c r="F78" s="12" t="str">
        <f>IF(Tabla4[[#This Row],[Artículo]]="","",IFERROR(_xlfn.XLOOKUP(Tabla4[[#This Row],[Artículo]],Tabla2[Artículo],Tabla2[Precio Unitario ARS],"",0,-1),""))</f>
        <v/>
      </c>
      <c r="G78" s="18" t="str">
        <f>IF(Tabla4[[#This Row],[Artículo]]="","",IFERROR(_xlfn.XLOOKUP(Tabla4[[#This Row],[Artículo]],Tabla2[Artículo],Tabla2[Proveedor],"",0,-1),""))</f>
        <v/>
      </c>
      <c r="H78" s="12" t="str" cm="1">
        <f t="array" ref="H78">IF(Tabla4[[#This Row],[Artículo]]="","",IFERROR(MIN(_xlfn._xlws.FILTER(Tabla2[Precio Unitario ARS],Tabla2[Artículo]=Tabla4[[#This Row],[Artículo]])),""))</f>
        <v/>
      </c>
      <c r="I78" s="12" t="str" cm="1">
        <f t="array" ref="I78">IF(Tabla4[[#This Row],[Artículo]]="","",IFERROR(_xlfn.XLOOKUP(1,(Tabla2[Artículo]=Tabla4[[#This Row],[Artículo]])*(Tabla2[Precio Unitario ARS]=Tabla4[[#This Row],[Mejor Precio]]),Tabla2[Proveedor]),""))</f>
        <v/>
      </c>
      <c r="J78" s="11" t="str">
        <f>IF(Tabla4[[#This Row],[Artículo]]="","",IFERROR((Tabla4[[#This Row],[Precio Cotizado]]-Tabla4[[#This Row],[Últ. Precio]])/Tabla4[[#This Row],[Últ. Precio]],""))</f>
        <v/>
      </c>
      <c r="K78" s="12" t="str">
        <f>IF(Tabla4[[#This Row],[Artículo]]="","",IFERROR(Tabla4[[#This Row],[Precio Cotizado]]-Tabla4[[#This Row],[Mejor Precio]],""))</f>
        <v/>
      </c>
      <c r="L78" s="13" t="str">
        <f>IF(Tabla4[[#This Row],[Artículo]]="","",IFERROR(Tabla4[[#This Row],[Dif por Unidad]]*Tabla4[[#This Row],[Cantidad]],""))</f>
        <v/>
      </c>
      <c r="M78" s="19" t="str">
        <f t="shared" si="2"/>
        <v/>
      </c>
      <c r="N78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79" spans="5:14" x14ac:dyDescent="0.25">
      <c r="E79" s="12"/>
      <c r="F79" s="12" t="str">
        <f>IF(Tabla4[[#This Row],[Artículo]]="","",IFERROR(_xlfn.XLOOKUP(Tabla4[[#This Row],[Artículo]],Tabla2[Artículo],Tabla2[Precio Unitario ARS],"",0,-1),""))</f>
        <v/>
      </c>
      <c r="G79" s="18" t="str">
        <f>IF(Tabla4[[#This Row],[Artículo]]="","",IFERROR(_xlfn.XLOOKUP(Tabla4[[#This Row],[Artículo]],Tabla2[Artículo],Tabla2[Proveedor],"",0,-1),""))</f>
        <v/>
      </c>
      <c r="H79" s="12" t="str" cm="1">
        <f t="array" ref="H79">IF(Tabla4[[#This Row],[Artículo]]="","",IFERROR(MIN(_xlfn._xlws.FILTER(Tabla2[Precio Unitario ARS],Tabla2[Artículo]=Tabla4[[#This Row],[Artículo]])),""))</f>
        <v/>
      </c>
      <c r="I79" s="12" t="str" cm="1">
        <f t="array" ref="I79">IF(Tabla4[[#This Row],[Artículo]]="","",IFERROR(_xlfn.XLOOKUP(1,(Tabla2[Artículo]=Tabla4[[#This Row],[Artículo]])*(Tabla2[Precio Unitario ARS]=Tabla4[[#This Row],[Mejor Precio]]),Tabla2[Proveedor]),""))</f>
        <v/>
      </c>
      <c r="J79" s="11" t="str">
        <f>IF(Tabla4[[#This Row],[Artículo]]="","",IFERROR((Tabla4[[#This Row],[Precio Cotizado]]-Tabla4[[#This Row],[Últ. Precio]])/Tabla4[[#This Row],[Últ. Precio]],""))</f>
        <v/>
      </c>
      <c r="K79" s="12" t="str">
        <f>IF(Tabla4[[#This Row],[Artículo]]="","",IFERROR(Tabla4[[#This Row],[Precio Cotizado]]-Tabla4[[#This Row],[Mejor Precio]],""))</f>
        <v/>
      </c>
      <c r="L79" s="13" t="str">
        <f>IF(Tabla4[[#This Row],[Artículo]]="","",IFERROR(Tabla4[[#This Row],[Dif por Unidad]]*Tabla4[[#This Row],[Cantidad]],""))</f>
        <v/>
      </c>
      <c r="M79" s="19" t="str">
        <f t="shared" si="2"/>
        <v/>
      </c>
      <c r="N79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80" spans="5:14" x14ac:dyDescent="0.25">
      <c r="E80" s="12"/>
      <c r="F80" s="12" t="str">
        <f>IF(Tabla4[[#This Row],[Artículo]]="","",IFERROR(_xlfn.XLOOKUP(Tabla4[[#This Row],[Artículo]],Tabla2[Artículo],Tabla2[Precio Unitario ARS],"",0,-1),""))</f>
        <v/>
      </c>
      <c r="G80" s="18" t="str">
        <f>IF(Tabla4[[#This Row],[Artículo]]="","",IFERROR(_xlfn.XLOOKUP(Tabla4[[#This Row],[Artículo]],Tabla2[Artículo],Tabla2[Proveedor],"",0,-1),""))</f>
        <v/>
      </c>
      <c r="H80" s="12" t="str" cm="1">
        <f t="array" ref="H80">IF(Tabla4[[#This Row],[Artículo]]="","",IFERROR(MIN(_xlfn._xlws.FILTER(Tabla2[Precio Unitario ARS],Tabla2[Artículo]=Tabla4[[#This Row],[Artículo]])),""))</f>
        <v/>
      </c>
      <c r="I80" s="12" t="str" cm="1">
        <f t="array" ref="I80">IF(Tabla4[[#This Row],[Artículo]]="","",IFERROR(_xlfn.XLOOKUP(1,(Tabla2[Artículo]=Tabla4[[#This Row],[Artículo]])*(Tabla2[Precio Unitario ARS]=Tabla4[[#This Row],[Mejor Precio]]),Tabla2[Proveedor]),""))</f>
        <v/>
      </c>
      <c r="J80" s="11" t="str">
        <f>IF(Tabla4[[#This Row],[Artículo]]="","",IFERROR((Tabla4[[#This Row],[Precio Cotizado]]-Tabla4[[#This Row],[Últ. Precio]])/Tabla4[[#This Row],[Últ. Precio]],""))</f>
        <v/>
      </c>
      <c r="K80" s="12" t="str">
        <f>IF(Tabla4[[#This Row],[Artículo]]="","",IFERROR(Tabla4[[#This Row],[Precio Cotizado]]-Tabla4[[#This Row],[Mejor Precio]],""))</f>
        <v/>
      </c>
      <c r="L80" s="13" t="str">
        <f>IF(Tabla4[[#This Row],[Artículo]]="","",IFERROR(Tabla4[[#This Row],[Dif por Unidad]]*Tabla4[[#This Row],[Cantidad]],""))</f>
        <v/>
      </c>
      <c r="M80" s="19" t="str">
        <f t="shared" si="2"/>
        <v/>
      </c>
      <c r="N80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81" spans="5:14" x14ac:dyDescent="0.25">
      <c r="E81" s="12"/>
      <c r="F81" s="12" t="str">
        <f>IF(Tabla4[[#This Row],[Artículo]]="","",IFERROR(_xlfn.XLOOKUP(Tabla4[[#This Row],[Artículo]],Tabla2[Artículo],Tabla2[Precio Unitario ARS],"",0,-1),""))</f>
        <v/>
      </c>
      <c r="G81" s="18" t="str">
        <f>IF(Tabla4[[#This Row],[Artículo]]="","",IFERROR(_xlfn.XLOOKUP(Tabla4[[#This Row],[Artículo]],Tabla2[Artículo],Tabla2[Proveedor],"",0,-1),""))</f>
        <v/>
      </c>
      <c r="H81" s="12" t="str" cm="1">
        <f t="array" ref="H81">IF(Tabla4[[#This Row],[Artículo]]="","",IFERROR(MIN(_xlfn._xlws.FILTER(Tabla2[Precio Unitario ARS],Tabla2[Artículo]=Tabla4[[#This Row],[Artículo]])),""))</f>
        <v/>
      </c>
      <c r="I81" s="12" t="str" cm="1">
        <f t="array" ref="I81">IF(Tabla4[[#This Row],[Artículo]]="","",IFERROR(_xlfn.XLOOKUP(1,(Tabla2[Artículo]=Tabla4[[#This Row],[Artículo]])*(Tabla2[Precio Unitario ARS]=Tabla4[[#This Row],[Mejor Precio]]),Tabla2[Proveedor]),""))</f>
        <v/>
      </c>
      <c r="J81" s="11" t="str">
        <f>IF(Tabla4[[#This Row],[Artículo]]="","",IFERROR((Tabla4[[#This Row],[Precio Cotizado]]-Tabla4[[#This Row],[Últ. Precio]])/Tabla4[[#This Row],[Últ. Precio]],""))</f>
        <v/>
      </c>
      <c r="K81" s="12" t="str">
        <f>IF(Tabla4[[#This Row],[Artículo]]="","",IFERROR(Tabla4[[#This Row],[Precio Cotizado]]-Tabla4[[#This Row],[Mejor Precio]],""))</f>
        <v/>
      </c>
      <c r="L81" s="13" t="str">
        <f>IF(Tabla4[[#This Row],[Artículo]]="","",IFERROR(Tabla4[[#This Row],[Dif por Unidad]]*Tabla4[[#This Row],[Cantidad]],""))</f>
        <v/>
      </c>
      <c r="M81" s="19" t="str">
        <f t="shared" si="2"/>
        <v/>
      </c>
      <c r="N81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82" spans="5:14" x14ac:dyDescent="0.25">
      <c r="E82" s="12"/>
      <c r="F82" s="12" t="str">
        <f>IF(Tabla4[[#This Row],[Artículo]]="","",IFERROR(_xlfn.XLOOKUP(Tabla4[[#This Row],[Artículo]],Tabla2[Artículo],Tabla2[Precio Unitario ARS],"",0,-1),""))</f>
        <v/>
      </c>
      <c r="G82" s="18" t="str">
        <f>IF(Tabla4[[#This Row],[Artículo]]="","",IFERROR(_xlfn.XLOOKUP(Tabla4[[#This Row],[Artículo]],Tabla2[Artículo],Tabla2[Proveedor],"",0,-1),""))</f>
        <v/>
      </c>
      <c r="H82" s="12" t="str" cm="1">
        <f t="array" ref="H82">IF(Tabla4[[#This Row],[Artículo]]="","",IFERROR(MIN(_xlfn._xlws.FILTER(Tabla2[Precio Unitario ARS],Tabla2[Artículo]=Tabla4[[#This Row],[Artículo]])),""))</f>
        <v/>
      </c>
      <c r="I82" s="12" t="str" cm="1">
        <f t="array" ref="I82">IF(Tabla4[[#This Row],[Artículo]]="","",IFERROR(_xlfn.XLOOKUP(1,(Tabla2[Artículo]=Tabla4[[#This Row],[Artículo]])*(Tabla2[Precio Unitario ARS]=Tabla4[[#This Row],[Mejor Precio]]),Tabla2[Proveedor]),""))</f>
        <v/>
      </c>
      <c r="J82" s="11" t="str">
        <f>IF(Tabla4[[#This Row],[Artículo]]="","",IFERROR((Tabla4[[#This Row],[Precio Cotizado]]-Tabla4[[#This Row],[Últ. Precio]])/Tabla4[[#This Row],[Últ. Precio]],""))</f>
        <v/>
      </c>
      <c r="K82" s="12" t="str">
        <f>IF(Tabla4[[#This Row],[Artículo]]="","",IFERROR(Tabla4[[#This Row],[Precio Cotizado]]-Tabla4[[#This Row],[Mejor Precio]],""))</f>
        <v/>
      </c>
      <c r="L82" s="13" t="str">
        <f>IF(Tabla4[[#This Row],[Artículo]]="","",IFERROR(Tabla4[[#This Row],[Dif por Unidad]]*Tabla4[[#This Row],[Cantidad]],""))</f>
        <v/>
      </c>
      <c r="M82" s="19" t="str">
        <f t="shared" si="2"/>
        <v/>
      </c>
      <c r="N82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83" spans="5:14" x14ac:dyDescent="0.25">
      <c r="E83" s="12"/>
      <c r="F83" s="12" t="str">
        <f>IF(Tabla4[[#This Row],[Artículo]]="","",IFERROR(_xlfn.XLOOKUP(Tabla4[[#This Row],[Artículo]],Tabla2[Artículo],Tabla2[Precio Unitario ARS],"",0,-1),""))</f>
        <v/>
      </c>
      <c r="G83" s="18" t="str">
        <f>IF(Tabla4[[#This Row],[Artículo]]="","",IFERROR(_xlfn.XLOOKUP(Tabla4[[#This Row],[Artículo]],Tabla2[Artículo],Tabla2[Proveedor],"",0,-1),""))</f>
        <v/>
      </c>
      <c r="H83" s="12" t="str" cm="1">
        <f t="array" ref="H83">IF(Tabla4[[#This Row],[Artículo]]="","",IFERROR(MIN(_xlfn._xlws.FILTER(Tabla2[Precio Unitario ARS],Tabla2[Artículo]=Tabla4[[#This Row],[Artículo]])),""))</f>
        <v/>
      </c>
      <c r="I83" s="12" t="str" cm="1">
        <f t="array" ref="I83">IF(Tabla4[[#This Row],[Artículo]]="","",IFERROR(_xlfn.XLOOKUP(1,(Tabla2[Artículo]=Tabla4[[#This Row],[Artículo]])*(Tabla2[Precio Unitario ARS]=Tabla4[[#This Row],[Mejor Precio]]),Tabla2[Proveedor]),""))</f>
        <v/>
      </c>
      <c r="J83" s="11" t="str">
        <f>IF(Tabla4[[#This Row],[Artículo]]="","",IFERROR((Tabla4[[#This Row],[Precio Cotizado]]-Tabla4[[#This Row],[Últ. Precio]])/Tabla4[[#This Row],[Últ. Precio]],""))</f>
        <v/>
      </c>
      <c r="K83" s="12" t="str">
        <f>IF(Tabla4[[#This Row],[Artículo]]="","",IFERROR(Tabla4[[#This Row],[Precio Cotizado]]-Tabla4[[#This Row],[Mejor Precio]],""))</f>
        <v/>
      </c>
      <c r="L83" s="13" t="str">
        <f>IF(Tabla4[[#This Row],[Artículo]]="","",IFERROR(Tabla4[[#This Row],[Dif por Unidad]]*Tabla4[[#This Row],[Cantidad]],""))</f>
        <v/>
      </c>
      <c r="M83" s="19" t="str">
        <f t="shared" si="2"/>
        <v/>
      </c>
      <c r="N83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84" spans="5:14" x14ac:dyDescent="0.25">
      <c r="E84" s="12"/>
      <c r="F84" s="12" t="str">
        <f>IF(Tabla4[[#This Row],[Artículo]]="","",IFERROR(_xlfn.XLOOKUP(Tabla4[[#This Row],[Artículo]],Tabla2[Artículo],Tabla2[Precio Unitario ARS],"",0,-1),""))</f>
        <v/>
      </c>
      <c r="G84" s="18" t="str">
        <f>IF(Tabla4[[#This Row],[Artículo]]="","",IFERROR(_xlfn.XLOOKUP(Tabla4[[#This Row],[Artículo]],Tabla2[Artículo],Tabla2[Proveedor],"",0,-1),""))</f>
        <v/>
      </c>
      <c r="H84" s="12" t="str" cm="1">
        <f t="array" ref="H84">IF(Tabla4[[#This Row],[Artículo]]="","",IFERROR(MIN(_xlfn._xlws.FILTER(Tabla2[Precio Unitario ARS],Tabla2[Artículo]=Tabla4[[#This Row],[Artículo]])),""))</f>
        <v/>
      </c>
      <c r="I84" s="12" t="str" cm="1">
        <f t="array" ref="I84">IF(Tabla4[[#This Row],[Artículo]]="","",IFERROR(_xlfn.XLOOKUP(1,(Tabla2[Artículo]=Tabla4[[#This Row],[Artículo]])*(Tabla2[Precio Unitario ARS]=Tabla4[[#This Row],[Mejor Precio]]),Tabla2[Proveedor]),""))</f>
        <v/>
      </c>
      <c r="J84" s="11" t="str">
        <f>IF(Tabla4[[#This Row],[Artículo]]="","",IFERROR((Tabla4[[#This Row],[Precio Cotizado]]-Tabla4[[#This Row],[Últ. Precio]])/Tabla4[[#This Row],[Últ. Precio]],""))</f>
        <v/>
      </c>
      <c r="K84" s="12" t="str">
        <f>IF(Tabla4[[#This Row],[Artículo]]="","",IFERROR(Tabla4[[#This Row],[Precio Cotizado]]-Tabla4[[#This Row],[Mejor Precio]],""))</f>
        <v/>
      </c>
      <c r="L84" s="13" t="str">
        <f>IF(Tabla4[[#This Row],[Artículo]]="","",IFERROR(Tabla4[[#This Row],[Dif por Unidad]]*Tabla4[[#This Row],[Cantidad]],""))</f>
        <v/>
      </c>
      <c r="M84" s="19" t="str">
        <f t="shared" si="2"/>
        <v/>
      </c>
      <c r="N84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85" spans="5:14" x14ac:dyDescent="0.25">
      <c r="E85" s="12"/>
      <c r="F85" s="12" t="str">
        <f>IF(Tabla4[[#This Row],[Artículo]]="","",IFERROR(_xlfn.XLOOKUP(Tabla4[[#This Row],[Artículo]],Tabla2[Artículo],Tabla2[Precio Unitario ARS],"",0,-1),""))</f>
        <v/>
      </c>
      <c r="G85" s="18" t="str">
        <f>IF(Tabla4[[#This Row],[Artículo]]="","",IFERROR(_xlfn.XLOOKUP(Tabla4[[#This Row],[Artículo]],Tabla2[Artículo],Tabla2[Proveedor],"",0,-1),""))</f>
        <v/>
      </c>
      <c r="H85" s="12" t="str" cm="1">
        <f t="array" ref="H85">IF(Tabla4[[#This Row],[Artículo]]="","",IFERROR(MIN(_xlfn._xlws.FILTER(Tabla2[Precio Unitario ARS],Tabla2[Artículo]=Tabla4[[#This Row],[Artículo]])),""))</f>
        <v/>
      </c>
      <c r="I85" s="12" t="str" cm="1">
        <f t="array" ref="I85">IF(Tabla4[[#This Row],[Artículo]]="","",IFERROR(_xlfn.XLOOKUP(1,(Tabla2[Artículo]=Tabla4[[#This Row],[Artículo]])*(Tabla2[Precio Unitario ARS]=Tabla4[[#This Row],[Mejor Precio]]),Tabla2[Proveedor]),""))</f>
        <v/>
      </c>
      <c r="J85" s="11" t="str">
        <f>IF(Tabla4[[#This Row],[Artículo]]="","",IFERROR((Tabla4[[#This Row],[Precio Cotizado]]-Tabla4[[#This Row],[Últ. Precio]])/Tabla4[[#This Row],[Últ. Precio]],""))</f>
        <v/>
      </c>
      <c r="K85" s="12" t="str">
        <f>IF(Tabla4[[#This Row],[Artículo]]="","",IFERROR(Tabla4[[#This Row],[Precio Cotizado]]-Tabla4[[#This Row],[Mejor Precio]],""))</f>
        <v/>
      </c>
      <c r="L85" s="13" t="str">
        <f>IF(Tabla4[[#This Row],[Artículo]]="","",IFERROR(Tabla4[[#This Row],[Dif por Unidad]]*Tabla4[[#This Row],[Cantidad]],""))</f>
        <v/>
      </c>
      <c r="M85" s="19" t="str">
        <f t="shared" si="2"/>
        <v/>
      </c>
      <c r="N85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86" spans="5:14" x14ac:dyDescent="0.25">
      <c r="E86" s="12"/>
      <c r="F86" s="12" t="str">
        <f>IF(Tabla4[[#This Row],[Artículo]]="","",IFERROR(_xlfn.XLOOKUP(Tabla4[[#This Row],[Artículo]],Tabla2[Artículo],Tabla2[Precio Unitario ARS],"",0,-1),""))</f>
        <v/>
      </c>
      <c r="G86" s="18" t="str">
        <f>IF(Tabla4[[#This Row],[Artículo]]="","",IFERROR(_xlfn.XLOOKUP(Tabla4[[#This Row],[Artículo]],Tabla2[Artículo],Tabla2[Proveedor],"",0,-1),""))</f>
        <v/>
      </c>
      <c r="H86" s="12" t="str" cm="1">
        <f t="array" ref="H86">IF(Tabla4[[#This Row],[Artículo]]="","",IFERROR(MIN(_xlfn._xlws.FILTER(Tabla2[Precio Unitario ARS],Tabla2[Artículo]=Tabla4[[#This Row],[Artículo]])),""))</f>
        <v/>
      </c>
      <c r="I86" s="12" t="str" cm="1">
        <f t="array" ref="I86">IF(Tabla4[[#This Row],[Artículo]]="","",IFERROR(_xlfn.XLOOKUP(1,(Tabla2[Artículo]=Tabla4[[#This Row],[Artículo]])*(Tabla2[Precio Unitario ARS]=Tabla4[[#This Row],[Mejor Precio]]),Tabla2[Proveedor]),""))</f>
        <v/>
      </c>
      <c r="J86" s="11" t="str">
        <f>IF(Tabla4[[#This Row],[Artículo]]="","",IFERROR((Tabla4[[#This Row],[Precio Cotizado]]-Tabla4[[#This Row],[Últ. Precio]])/Tabla4[[#This Row],[Últ. Precio]],""))</f>
        <v/>
      </c>
      <c r="K86" s="12" t="str">
        <f>IF(Tabla4[[#This Row],[Artículo]]="","",IFERROR(Tabla4[[#This Row],[Precio Cotizado]]-Tabla4[[#This Row],[Mejor Precio]],""))</f>
        <v/>
      </c>
      <c r="L86" s="13" t="str">
        <f>IF(Tabla4[[#This Row],[Artículo]]="","",IFERROR(Tabla4[[#This Row],[Dif por Unidad]]*Tabla4[[#This Row],[Cantidad]],""))</f>
        <v/>
      </c>
      <c r="M86" s="19" t="str">
        <f t="shared" si="2"/>
        <v/>
      </c>
      <c r="N86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87" spans="5:14" x14ac:dyDescent="0.25">
      <c r="E87" s="12"/>
      <c r="F87" s="12" t="str">
        <f>IF(Tabla4[[#This Row],[Artículo]]="","",IFERROR(_xlfn.XLOOKUP(Tabla4[[#This Row],[Artículo]],Tabla2[Artículo],Tabla2[Precio Unitario ARS],"",0,-1),""))</f>
        <v/>
      </c>
      <c r="G87" s="18" t="str">
        <f>IF(Tabla4[[#This Row],[Artículo]]="","",IFERROR(_xlfn.XLOOKUP(Tabla4[[#This Row],[Artículo]],Tabla2[Artículo],Tabla2[Proveedor],"",0,-1),""))</f>
        <v/>
      </c>
      <c r="H87" s="12" t="str" cm="1">
        <f t="array" ref="H87">IF(Tabla4[[#This Row],[Artículo]]="","",IFERROR(MIN(_xlfn._xlws.FILTER(Tabla2[Precio Unitario ARS],Tabla2[Artículo]=Tabla4[[#This Row],[Artículo]])),""))</f>
        <v/>
      </c>
      <c r="I87" s="12" t="str" cm="1">
        <f t="array" ref="I87">IF(Tabla4[[#This Row],[Artículo]]="","",IFERROR(_xlfn.XLOOKUP(1,(Tabla2[Artículo]=Tabla4[[#This Row],[Artículo]])*(Tabla2[Precio Unitario ARS]=Tabla4[[#This Row],[Mejor Precio]]),Tabla2[Proveedor]),""))</f>
        <v/>
      </c>
      <c r="J87" s="11" t="str">
        <f>IF(Tabla4[[#This Row],[Artículo]]="","",IFERROR((Tabla4[[#This Row],[Precio Cotizado]]-Tabla4[[#This Row],[Últ. Precio]])/Tabla4[[#This Row],[Últ. Precio]],""))</f>
        <v/>
      </c>
      <c r="K87" s="12" t="str">
        <f>IF(Tabla4[[#This Row],[Artículo]]="","",IFERROR(Tabla4[[#This Row],[Precio Cotizado]]-Tabla4[[#This Row],[Mejor Precio]],""))</f>
        <v/>
      </c>
      <c r="L87" s="13" t="str">
        <f>IF(Tabla4[[#This Row],[Artículo]]="","",IFERROR(Tabla4[[#This Row],[Dif por Unidad]]*Tabla4[[#This Row],[Cantidad]],""))</f>
        <v/>
      </c>
      <c r="M87" s="19" t="str">
        <f t="shared" si="2"/>
        <v/>
      </c>
      <c r="N87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88" spans="5:14" x14ac:dyDescent="0.25">
      <c r="E88" s="12"/>
      <c r="F88" s="12" t="str">
        <f>IF(Tabla4[[#This Row],[Artículo]]="","",IFERROR(_xlfn.XLOOKUP(Tabla4[[#This Row],[Artículo]],Tabla2[Artículo],Tabla2[Precio Unitario ARS],"",0,-1),""))</f>
        <v/>
      </c>
      <c r="G88" s="18" t="str">
        <f>IF(Tabla4[[#This Row],[Artículo]]="","",IFERROR(_xlfn.XLOOKUP(Tabla4[[#This Row],[Artículo]],Tabla2[Artículo],Tabla2[Proveedor],"",0,-1),""))</f>
        <v/>
      </c>
      <c r="H88" s="12" t="str" cm="1">
        <f t="array" ref="H88">IF(Tabla4[[#This Row],[Artículo]]="","",IFERROR(MIN(_xlfn._xlws.FILTER(Tabla2[Precio Unitario ARS],Tabla2[Artículo]=Tabla4[[#This Row],[Artículo]])),""))</f>
        <v/>
      </c>
      <c r="I88" s="12" t="str" cm="1">
        <f t="array" ref="I88">IF(Tabla4[[#This Row],[Artículo]]="","",IFERROR(_xlfn.XLOOKUP(1,(Tabla2[Artículo]=Tabla4[[#This Row],[Artículo]])*(Tabla2[Precio Unitario ARS]=Tabla4[[#This Row],[Mejor Precio]]),Tabla2[Proveedor]),""))</f>
        <v/>
      </c>
      <c r="J88" s="11" t="str">
        <f>IF(Tabla4[[#This Row],[Artículo]]="","",IFERROR((Tabla4[[#This Row],[Precio Cotizado]]-Tabla4[[#This Row],[Últ. Precio]])/Tabla4[[#This Row],[Últ. Precio]],""))</f>
        <v/>
      </c>
      <c r="K88" s="12" t="str">
        <f>IF(Tabla4[[#This Row],[Artículo]]="","",IFERROR(Tabla4[[#This Row],[Precio Cotizado]]-Tabla4[[#This Row],[Mejor Precio]],""))</f>
        <v/>
      </c>
      <c r="L88" s="13" t="str">
        <f>IF(Tabla4[[#This Row],[Artículo]]="","",IFERROR(Tabla4[[#This Row],[Dif por Unidad]]*Tabla4[[#This Row],[Cantidad]],""))</f>
        <v/>
      </c>
      <c r="M88" s="19" t="str">
        <f t="shared" si="2"/>
        <v/>
      </c>
      <c r="N88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89" spans="5:14" x14ac:dyDescent="0.25">
      <c r="E89" s="12"/>
      <c r="F89" s="12" t="str">
        <f>IF(Tabla4[[#This Row],[Artículo]]="","",IFERROR(_xlfn.XLOOKUP(Tabla4[[#This Row],[Artículo]],Tabla2[Artículo],Tabla2[Precio Unitario ARS],"",0,-1),""))</f>
        <v/>
      </c>
      <c r="G89" s="18" t="str">
        <f>IF(Tabla4[[#This Row],[Artículo]]="","",IFERROR(_xlfn.XLOOKUP(Tabla4[[#This Row],[Artículo]],Tabla2[Artículo],Tabla2[Proveedor],"",0,-1),""))</f>
        <v/>
      </c>
      <c r="H89" s="12" t="str" cm="1">
        <f t="array" ref="H89">IF(Tabla4[[#This Row],[Artículo]]="","",IFERROR(MIN(_xlfn._xlws.FILTER(Tabla2[Precio Unitario ARS],Tabla2[Artículo]=Tabla4[[#This Row],[Artículo]])),""))</f>
        <v/>
      </c>
      <c r="I89" s="12" t="str" cm="1">
        <f t="array" ref="I89">IF(Tabla4[[#This Row],[Artículo]]="","",IFERROR(_xlfn.XLOOKUP(1,(Tabla2[Artículo]=Tabla4[[#This Row],[Artículo]])*(Tabla2[Precio Unitario ARS]=Tabla4[[#This Row],[Mejor Precio]]),Tabla2[Proveedor]),""))</f>
        <v/>
      </c>
      <c r="J89" s="11" t="str">
        <f>IF(Tabla4[[#This Row],[Artículo]]="","",IFERROR((Tabla4[[#This Row],[Precio Cotizado]]-Tabla4[[#This Row],[Últ. Precio]])/Tabla4[[#This Row],[Últ. Precio]],""))</f>
        <v/>
      </c>
      <c r="K89" s="12" t="str">
        <f>IF(Tabla4[[#This Row],[Artículo]]="","",IFERROR(Tabla4[[#This Row],[Precio Cotizado]]-Tabla4[[#This Row],[Mejor Precio]],""))</f>
        <v/>
      </c>
      <c r="L89" s="13" t="str">
        <f>IF(Tabla4[[#This Row],[Artículo]]="","",IFERROR(Tabla4[[#This Row],[Dif por Unidad]]*Tabla4[[#This Row],[Cantidad]],""))</f>
        <v/>
      </c>
      <c r="M89" s="19" t="str">
        <f t="shared" si="2"/>
        <v/>
      </c>
      <c r="N89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90" spans="5:14" x14ac:dyDescent="0.25">
      <c r="E90" s="12"/>
      <c r="F90" s="12" t="str">
        <f>IF(Tabla4[[#This Row],[Artículo]]="","",IFERROR(_xlfn.XLOOKUP(Tabla4[[#This Row],[Artículo]],Tabla2[Artículo],Tabla2[Precio Unitario ARS],"",0,-1),""))</f>
        <v/>
      </c>
      <c r="G90" s="18" t="str">
        <f>IF(Tabla4[[#This Row],[Artículo]]="","",IFERROR(_xlfn.XLOOKUP(Tabla4[[#This Row],[Artículo]],Tabla2[Artículo],Tabla2[Proveedor],"",0,-1),""))</f>
        <v/>
      </c>
      <c r="H90" s="12" t="str" cm="1">
        <f t="array" ref="H90">IF(Tabla4[[#This Row],[Artículo]]="","",IFERROR(MIN(_xlfn._xlws.FILTER(Tabla2[Precio Unitario ARS],Tabla2[Artículo]=Tabla4[[#This Row],[Artículo]])),""))</f>
        <v/>
      </c>
      <c r="I90" s="12" t="str" cm="1">
        <f t="array" ref="I90">IF(Tabla4[[#This Row],[Artículo]]="","",IFERROR(_xlfn.XLOOKUP(1,(Tabla2[Artículo]=Tabla4[[#This Row],[Artículo]])*(Tabla2[Precio Unitario ARS]=Tabla4[[#This Row],[Mejor Precio]]),Tabla2[Proveedor]),""))</f>
        <v/>
      </c>
      <c r="J90" s="11" t="str">
        <f>IF(Tabla4[[#This Row],[Artículo]]="","",IFERROR((Tabla4[[#This Row],[Precio Cotizado]]-Tabla4[[#This Row],[Últ. Precio]])/Tabla4[[#This Row],[Últ. Precio]],""))</f>
        <v/>
      </c>
      <c r="K90" s="12" t="str">
        <f>IF(Tabla4[[#This Row],[Artículo]]="","",IFERROR(Tabla4[[#This Row],[Precio Cotizado]]-Tabla4[[#This Row],[Mejor Precio]],""))</f>
        <v/>
      </c>
      <c r="L90" s="13" t="str">
        <f>IF(Tabla4[[#This Row],[Artículo]]="","",IFERROR(Tabla4[[#This Row],[Dif por Unidad]]*Tabla4[[#This Row],[Cantidad]],""))</f>
        <v/>
      </c>
      <c r="M90" s="19" t="str">
        <f t="shared" si="2"/>
        <v/>
      </c>
      <c r="N90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91" spans="5:14" x14ac:dyDescent="0.25">
      <c r="E91" s="12"/>
      <c r="F91" s="12" t="str">
        <f>IF(Tabla4[[#This Row],[Artículo]]="","",IFERROR(_xlfn.XLOOKUP(Tabla4[[#This Row],[Artículo]],Tabla2[Artículo],Tabla2[Precio Unitario ARS],"",0,-1),""))</f>
        <v/>
      </c>
      <c r="G91" s="18" t="str">
        <f>IF(Tabla4[[#This Row],[Artículo]]="","",IFERROR(_xlfn.XLOOKUP(Tabla4[[#This Row],[Artículo]],Tabla2[Artículo],Tabla2[Proveedor],"",0,-1),""))</f>
        <v/>
      </c>
      <c r="H91" s="12" t="str" cm="1">
        <f t="array" ref="H91">IF(Tabla4[[#This Row],[Artículo]]="","",IFERROR(MIN(_xlfn._xlws.FILTER(Tabla2[Precio Unitario ARS],Tabla2[Artículo]=Tabla4[[#This Row],[Artículo]])),""))</f>
        <v/>
      </c>
      <c r="I91" s="12" t="str" cm="1">
        <f t="array" ref="I91">IF(Tabla4[[#This Row],[Artículo]]="","",IFERROR(_xlfn.XLOOKUP(1,(Tabla2[Artículo]=Tabla4[[#This Row],[Artículo]])*(Tabla2[Precio Unitario ARS]=Tabla4[[#This Row],[Mejor Precio]]),Tabla2[Proveedor]),""))</f>
        <v/>
      </c>
      <c r="J91" s="11" t="str">
        <f>IF(Tabla4[[#This Row],[Artículo]]="","",IFERROR((Tabla4[[#This Row],[Precio Cotizado]]-Tabla4[[#This Row],[Últ. Precio]])/Tabla4[[#This Row],[Últ. Precio]],""))</f>
        <v/>
      </c>
      <c r="K91" s="12" t="str">
        <f>IF(Tabla4[[#This Row],[Artículo]]="","",IFERROR(Tabla4[[#This Row],[Precio Cotizado]]-Tabla4[[#This Row],[Mejor Precio]],""))</f>
        <v/>
      </c>
      <c r="L91" s="13" t="str">
        <f>IF(Tabla4[[#This Row],[Artículo]]="","",IFERROR(Tabla4[[#This Row],[Dif por Unidad]]*Tabla4[[#This Row],[Cantidad]],""))</f>
        <v/>
      </c>
      <c r="M91" s="19" t="str">
        <f t="shared" si="2"/>
        <v/>
      </c>
      <c r="N91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92" spans="5:14" x14ac:dyDescent="0.25">
      <c r="E92" s="12"/>
      <c r="F92" s="12" t="str">
        <f>IF(Tabla4[[#This Row],[Artículo]]="","",IFERROR(_xlfn.XLOOKUP(Tabla4[[#This Row],[Artículo]],Tabla2[Artículo],Tabla2[Precio Unitario ARS],"",0,-1),""))</f>
        <v/>
      </c>
      <c r="G92" s="18" t="str">
        <f>IF(Tabla4[[#This Row],[Artículo]]="","",IFERROR(_xlfn.XLOOKUP(Tabla4[[#This Row],[Artículo]],Tabla2[Artículo],Tabla2[Proveedor],"",0,-1),""))</f>
        <v/>
      </c>
      <c r="H92" s="12" t="str" cm="1">
        <f t="array" ref="H92">IF(Tabla4[[#This Row],[Artículo]]="","",IFERROR(MIN(_xlfn._xlws.FILTER(Tabla2[Precio Unitario ARS],Tabla2[Artículo]=Tabla4[[#This Row],[Artículo]])),""))</f>
        <v/>
      </c>
      <c r="I92" s="12" t="str" cm="1">
        <f t="array" ref="I92">IF(Tabla4[[#This Row],[Artículo]]="","",IFERROR(_xlfn.XLOOKUP(1,(Tabla2[Artículo]=Tabla4[[#This Row],[Artículo]])*(Tabla2[Precio Unitario ARS]=Tabla4[[#This Row],[Mejor Precio]]),Tabla2[Proveedor]),""))</f>
        <v/>
      </c>
      <c r="J92" s="11" t="str">
        <f>IF(Tabla4[[#This Row],[Artículo]]="","",IFERROR((Tabla4[[#This Row],[Precio Cotizado]]-Tabla4[[#This Row],[Últ. Precio]])/Tabla4[[#This Row],[Últ. Precio]],""))</f>
        <v/>
      </c>
      <c r="K92" s="12" t="str">
        <f>IF(Tabla4[[#This Row],[Artículo]]="","",IFERROR(Tabla4[[#This Row],[Precio Cotizado]]-Tabla4[[#This Row],[Mejor Precio]],""))</f>
        <v/>
      </c>
      <c r="L92" s="13" t="str">
        <f>IF(Tabla4[[#This Row],[Artículo]]="","",IFERROR(Tabla4[[#This Row],[Dif por Unidad]]*Tabla4[[#This Row],[Cantidad]],""))</f>
        <v/>
      </c>
      <c r="M92" s="19" t="str">
        <f t="shared" si="2"/>
        <v/>
      </c>
      <c r="N92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93" spans="5:14" x14ac:dyDescent="0.25">
      <c r="E93" s="12"/>
      <c r="F93" s="12" t="str">
        <f>IF(Tabla4[[#This Row],[Artículo]]="","",IFERROR(_xlfn.XLOOKUP(Tabla4[[#This Row],[Artículo]],Tabla2[Artículo],Tabla2[Precio Unitario ARS],"",0,-1),""))</f>
        <v/>
      </c>
      <c r="G93" s="18" t="str">
        <f>IF(Tabla4[[#This Row],[Artículo]]="","",IFERROR(_xlfn.XLOOKUP(Tabla4[[#This Row],[Artículo]],Tabla2[Artículo],Tabla2[Proveedor],"",0,-1),""))</f>
        <v/>
      </c>
      <c r="H93" s="12" t="str" cm="1">
        <f t="array" ref="H93">IF(Tabla4[[#This Row],[Artículo]]="","",IFERROR(MIN(_xlfn._xlws.FILTER(Tabla2[Precio Unitario ARS],Tabla2[Artículo]=Tabla4[[#This Row],[Artículo]])),""))</f>
        <v/>
      </c>
      <c r="I93" s="12" t="str" cm="1">
        <f t="array" ref="I93">IF(Tabla4[[#This Row],[Artículo]]="","",IFERROR(_xlfn.XLOOKUP(1,(Tabla2[Artículo]=Tabla4[[#This Row],[Artículo]])*(Tabla2[Precio Unitario ARS]=Tabla4[[#This Row],[Mejor Precio]]),Tabla2[Proveedor]),""))</f>
        <v/>
      </c>
      <c r="J93" s="11" t="str">
        <f>IF(Tabla4[[#This Row],[Artículo]]="","",IFERROR((Tabla4[[#This Row],[Precio Cotizado]]-Tabla4[[#This Row],[Últ. Precio]])/Tabla4[[#This Row],[Últ. Precio]],""))</f>
        <v/>
      </c>
      <c r="K93" s="12" t="str">
        <f>IF(Tabla4[[#This Row],[Artículo]]="","",IFERROR(Tabla4[[#This Row],[Precio Cotizado]]-Tabla4[[#This Row],[Mejor Precio]],""))</f>
        <v/>
      </c>
      <c r="L93" s="13" t="str">
        <f>IF(Tabla4[[#This Row],[Artículo]]="","",IFERROR(Tabla4[[#This Row],[Dif por Unidad]]*Tabla4[[#This Row],[Cantidad]],""))</f>
        <v/>
      </c>
      <c r="M93" s="19" t="str">
        <f t="shared" si="2"/>
        <v/>
      </c>
      <c r="N93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94" spans="5:14" x14ac:dyDescent="0.25">
      <c r="E94" s="12"/>
      <c r="F94" s="12" t="str">
        <f>IF(Tabla4[[#This Row],[Artículo]]="","",IFERROR(_xlfn.XLOOKUP(Tabla4[[#This Row],[Artículo]],Tabla2[Artículo],Tabla2[Precio Unitario ARS],"",0,-1),""))</f>
        <v/>
      </c>
      <c r="G94" s="18" t="str">
        <f>IF(Tabla4[[#This Row],[Artículo]]="","",IFERROR(_xlfn.XLOOKUP(Tabla4[[#This Row],[Artículo]],Tabla2[Artículo],Tabla2[Proveedor],"",0,-1),""))</f>
        <v/>
      </c>
      <c r="H94" s="12" t="str" cm="1">
        <f t="array" ref="H94">IF(Tabla4[[#This Row],[Artículo]]="","",IFERROR(MIN(_xlfn._xlws.FILTER(Tabla2[Precio Unitario ARS],Tabla2[Artículo]=Tabla4[[#This Row],[Artículo]])),""))</f>
        <v/>
      </c>
      <c r="I94" s="12" t="str" cm="1">
        <f t="array" ref="I94">IF(Tabla4[[#This Row],[Artículo]]="","",IFERROR(_xlfn.XLOOKUP(1,(Tabla2[Artículo]=Tabla4[[#This Row],[Artículo]])*(Tabla2[Precio Unitario ARS]=Tabla4[[#This Row],[Mejor Precio]]),Tabla2[Proveedor]),""))</f>
        <v/>
      </c>
      <c r="J94" s="11" t="str">
        <f>IF(Tabla4[[#This Row],[Artículo]]="","",IFERROR((Tabla4[[#This Row],[Precio Cotizado]]-Tabla4[[#This Row],[Últ. Precio]])/Tabla4[[#This Row],[Últ. Precio]],""))</f>
        <v/>
      </c>
      <c r="K94" s="12" t="str">
        <f>IF(Tabla4[[#This Row],[Artículo]]="","",IFERROR(Tabla4[[#This Row],[Precio Cotizado]]-Tabla4[[#This Row],[Mejor Precio]],""))</f>
        <v/>
      </c>
      <c r="L94" s="13" t="str">
        <f>IF(Tabla4[[#This Row],[Artículo]]="","",IFERROR(Tabla4[[#This Row],[Dif por Unidad]]*Tabla4[[#This Row],[Cantidad]],""))</f>
        <v/>
      </c>
      <c r="M94" s="19" t="str">
        <f t="shared" si="2"/>
        <v/>
      </c>
      <c r="N94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95" spans="5:14" x14ac:dyDescent="0.25">
      <c r="E95" s="12"/>
      <c r="F95" s="12" t="str">
        <f>IF(Tabla4[[#This Row],[Artículo]]="","",IFERROR(_xlfn.XLOOKUP(Tabla4[[#This Row],[Artículo]],Tabla2[Artículo],Tabla2[Precio Unitario ARS],"",0,-1),""))</f>
        <v/>
      </c>
      <c r="G95" s="18" t="str">
        <f>IF(Tabla4[[#This Row],[Artículo]]="","",IFERROR(_xlfn.XLOOKUP(Tabla4[[#This Row],[Artículo]],Tabla2[Artículo],Tabla2[Proveedor],"",0,-1),""))</f>
        <v/>
      </c>
      <c r="H95" s="12" t="str" cm="1">
        <f t="array" ref="H95">IF(Tabla4[[#This Row],[Artículo]]="","",IFERROR(MIN(_xlfn._xlws.FILTER(Tabla2[Precio Unitario ARS],Tabla2[Artículo]=Tabla4[[#This Row],[Artículo]])),""))</f>
        <v/>
      </c>
      <c r="I95" s="12" t="str" cm="1">
        <f t="array" ref="I95">IF(Tabla4[[#This Row],[Artículo]]="","",IFERROR(_xlfn.XLOOKUP(1,(Tabla2[Artículo]=Tabla4[[#This Row],[Artículo]])*(Tabla2[Precio Unitario ARS]=Tabla4[[#This Row],[Mejor Precio]]),Tabla2[Proveedor]),""))</f>
        <v/>
      </c>
      <c r="J95" s="11" t="str">
        <f>IF(Tabla4[[#This Row],[Artículo]]="","",IFERROR((Tabla4[[#This Row],[Precio Cotizado]]-Tabla4[[#This Row],[Últ. Precio]])/Tabla4[[#This Row],[Últ. Precio]],""))</f>
        <v/>
      </c>
      <c r="K95" s="12" t="str">
        <f>IF(Tabla4[[#This Row],[Artículo]]="","",IFERROR(Tabla4[[#This Row],[Precio Cotizado]]-Tabla4[[#This Row],[Mejor Precio]],""))</f>
        <v/>
      </c>
      <c r="L95" s="13" t="str">
        <f>IF(Tabla4[[#This Row],[Artículo]]="","",IFERROR(Tabla4[[#This Row],[Dif por Unidad]]*Tabla4[[#This Row],[Cantidad]],""))</f>
        <v/>
      </c>
      <c r="M95" s="19" t="str">
        <f t="shared" si="2"/>
        <v/>
      </c>
      <c r="N95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96" spans="5:14" x14ac:dyDescent="0.25">
      <c r="E96" s="12"/>
      <c r="F96" s="12" t="str">
        <f>IF(Tabla4[[#This Row],[Artículo]]="","",IFERROR(_xlfn.XLOOKUP(Tabla4[[#This Row],[Artículo]],Tabla2[Artículo],Tabla2[Precio Unitario ARS],"",0,-1),""))</f>
        <v/>
      </c>
      <c r="G96" s="18" t="str">
        <f>IF(Tabla4[[#This Row],[Artículo]]="","",IFERROR(_xlfn.XLOOKUP(Tabla4[[#This Row],[Artículo]],Tabla2[Artículo],Tabla2[Proveedor],"",0,-1),""))</f>
        <v/>
      </c>
      <c r="H96" s="12" t="str" cm="1">
        <f t="array" ref="H96">IF(Tabla4[[#This Row],[Artículo]]="","",IFERROR(MIN(_xlfn._xlws.FILTER(Tabla2[Precio Unitario ARS],Tabla2[Artículo]=Tabla4[[#This Row],[Artículo]])),""))</f>
        <v/>
      </c>
      <c r="I96" s="12" t="str" cm="1">
        <f t="array" ref="I96">IF(Tabla4[[#This Row],[Artículo]]="","",IFERROR(_xlfn.XLOOKUP(1,(Tabla2[Artículo]=Tabla4[[#This Row],[Artículo]])*(Tabla2[Precio Unitario ARS]=Tabla4[[#This Row],[Mejor Precio]]),Tabla2[Proveedor]),""))</f>
        <v/>
      </c>
      <c r="J96" s="11" t="str">
        <f>IF(Tabla4[[#This Row],[Artículo]]="","",IFERROR((Tabla4[[#This Row],[Precio Cotizado]]-Tabla4[[#This Row],[Últ. Precio]])/Tabla4[[#This Row],[Últ. Precio]],""))</f>
        <v/>
      </c>
      <c r="K96" s="12" t="str">
        <f>IF(Tabla4[[#This Row],[Artículo]]="","",IFERROR(Tabla4[[#This Row],[Precio Cotizado]]-Tabla4[[#This Row],[Mejor Precio]],""))</f>
        <v/>
      </c>
      <c r="L96" s="13" t="str">
        <f>IF(Tabla4[[#This Row],[Artículo]]="","",IFERROR(Tabla4[[#This Row],[Dif por Unidad]]*Tabla4[[#This Row],[Cantidad]],""))</f>
        <v/>
      </c>
      <c r="M96" s="19" t="str">
        <f t="shared" si="2"/>
        <v/>
      </c>
      <c r="N96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97" spans="5:14" x14ac:dyDescent="0.25">
      <c r="E97" s="12"/>
      <c r="F97" s="12" t="str">
        <f>IF(Tabla4[[#This Row],[Artículo]]="","",IFERROR(_xlfn.XLOOKUP(Tabla4[[#This Row],[Artículo]],Tabla2[Artículo],Tabla2[Precio Unitario ARS],"",0,-1),""))</f>
        <v/>
      </c>
      <c r="G97" s="18" t="str">
        <f>IF(Tabla4[[#This Row],[Artículo]]="","",IFERROR(_xlfn.XLOOKUP(Tabla4[[#This Row],[Artículo]],Tabla2[Artículo],Tabla2[Proveedor],"",0,-1),""))</f>
        <v/>
      </c>
      <c r="H97" s="12" t="str" cm="1">
        <f t="array" ref="H97">IF(Tabla4[[#This Row],[Artículo]]="","",IFERROR(MIN(_xlfn._xlws.FILTER(Tabla2[Precio Unitario ARS],Tabla2[Artículo]=Tabla4[[#This Row],[Artículo]])),""))</f>
        <v/>
      </c>
      <c r="I97" s="12" t="str" cm="1">
        <f t="array" ref="I97">IF(Tabla4[[#This Row],[Artículo]]="","",IFERROR(_xlfn.XLOOKUP(1,(Tabla2[Artículo]=Tabla4[[#This Row],[Artículo]])*(Tabla2[Precio Unitario ARS]=Tabla4[[#This Row],[Mejor Precio]]),Tabla2[Proveedor]),""))</f>
        <v/>
      </c>
      <c r="J97" s="11" t="str">
        <f>IF(Tabla4[[#This Row],[Artículo]]="","",IFERROR((Tabla4[[#This Row],[Precio Cotizado]]-Tabla4[[#This Row],[Últ. Precio]])/Tabla4[[#This Row],[Últ. Precio]],""))</f>
        <v/>
      </c>
      <c r="K97" s="12" t="str">
        <f>IF(Tabla4[[#This Row],[Artículo]]="","",IFERROR(Tabla4[[#This Row],[Precio Cotizado]]-Tabla4[[#This Row],[Mejor Precio]],""))</f>
        <v/>
      </c>
      <c r="L97" s="13" t="str">
        <f>IF(Tabla4[[#This Row],[Artículo]]="","",IFERROR(Tabla4[[#This Row],[Dif por Unidad]]*Tabla4[[#This Row],[Cantidad]],""))</f>
        <v/>
      </c>
      <c r="M97" s="19" t="str">
        <f t="shared" si="2"/>
        <v/>
      </c>
      <c r="N97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98" spans="5:14" x14ac:dyDescent="0.25">
      <c r="E98" s="12"/>
      <c r="F98" s="12" t="str">
        <f>IF(Tabla4[[#This Row],[Artículo]]="","",IFERROR(_xlfn.XLOOKUP(Tabla4[[#This Row],[Artículo]],Tabla2[Artículo],Tabla2[Precio Unitario ARS],"",0,-1),""))</f>
        <v/>
      </c>
      <c r="G98" s="18" t="str">
        <f>IF(Tabla4[[#This Row],[Artículo]]="","",IFERROR(_xlfn.XLOOKUP(Tabla4[[#This Row],[Artículo]],Tabla2[Artículo],Tabla2[Proveedor],"",0,-1),""))</f>
        <v/>
      </c>
      <c r="H98" s="12" t="str" cm="1">
        <f t="array" ref="H98">IF(Tabla4[[#This Row],[Artículo]]="","",IFERROR(MIN(_xlfn._xlws.FILTER(Tabla2[Precio Unitario ARS],Tabla2[Artículo]=Tabla4[[#This Row],[Artículo]])),""))</f>
        <v/>
      </c>
      <c r="I98" s="12" t="str" cm="1">
        <f t="array" ref="I98">IF(Tabla4[[#This Row],[Artículo]]="","",IFERROR(_xlfn.XLOOKUP(1,(Tabla2[Artículo]=Tabla4[[#This Row],[Artículo]])*(Tabla2[Precio Unitario ARS]=Tabla4[[#This Row],[Mejor Precio]]),Tabla2[Proveedor]),""))</f>
        <v/>
      </c>
      <c r="J98" s="11" t="str">
        <f>IF(Tabla4[[#This Row],[Artículo]]="","",IFERROR((Tabla4[[#This Row],[Precio Cotizado]]-Tabla4[[#This Row],[Últ. Precio]])/Tabla4[[#This Row],[Últ. Precio]],""))</f>
        <v/>
      </c>
      <c r="K98" s="12" t="str">
        <f>IF(Tabla4[[#This Row],[Artículo]]="","",IFERROR(Tabla4[[#This Row],[Precio Cotizado]]-Tabla4[[#This Row],[Mejor Precio]],""))</f>
        <v/>
      </c>
      <c r="L98" s="13" t="str">
        <f>IF(Tabla4[[#This Row],[Artículo]]="","",IFERROR(Tabla4[[#This Row],[Dif por Unidad]]*Tabla4[[#This Row],[Cantidad]],""))</f>
        <v/>
      </c>
      <c r="M98" s="19" t="str">
        <f t="shared" ref="M98:M129" si="3">IF(B98="","",IF(J98&lt;0,"Más barato",IF(J98&lt;=5%,"Dentro del rango",IF(J98&lt;=15%,"Revisar","Precio alto"))))</f>
        <v/>
      </c>
      <c r="N98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99" spans="5:14" x14ac:dyDescent="0.25">
      <c r="E99" s="12"/>
      <c r="F99" s="12" t="str">
        <f>IF(Tabla4[[#This Row],[Artículo]]="","",IFERROR(_xlfn.XLOOKUP(Tabla4[[#This Row],[Artículo]],Tabla2[Artículo],Tabla2[Precio Unitario ARS],"",0,-1),""))</f>
        <v/>
      </c>
      <c r="G99" s="18" t="str">
        <f>IF(Tabla4[[#This Row],[Artículo]]="","",IFERROR(_xlfn.XLOOKUP(Tabla4[[#This Row],[Artículo]],Tabla2[Artículo],Tabla2[Proveedor],"",0,-1),""))</f>
        <v/>
      </c>
      <c r="H99" s="12" t="str" cm="1">
        <f t="array" ref="H99">IF(Tabla4[[#This Row],[Artículo]]="","",IFERROR(MIN(_xlfn._xlws.FILTER(Tabla2[Precio Unitario ARS],Tabla2[Artículo]=Tabla4[[#This Row],[Artículo]])),""))</f>
        <v/>
      </c>
      <c r="I99" s="12" t="str" cm="1">
        <f t="array" ref="I99">IF(Tabla4[[#This Row],[Artículo]]="","",IFERROR(_xlfn.XLOOKUP(1,(Tabla2[Artículo]=Tabla4[[#This Row],[Artículo]])*(Tabla2[Precio Unitario ARS]=Tabla4[[#This Row],[Mejor Precio]]),Tabla2[Proveedor]),""))</f>
        <v/>
      </c>
      <c r="J99" s="11" t="str">
        <f>IF(Tabla4[[#This Row],[Artículo]]="","",IFERROR((Tabla4[[#This Row],[Precio Cotizado]]-Tabla4[[#This Row],[Últ. Precio]])/Tabla4[[#This Row],[Últ. Precio]],""))</f>
        <v/>
      </c>
      <c r="K99" s="12" t="str">
        <f>IF(Tabla4[[#This Row],[Artículo]]="","",IFERROR(Tabla4[[#This Row],[Precio Cotizado]]-Tabla4[[#This Row],[Mejor Precio]],""))</f>
        <v/>
      </c>
      <c r="L99" s="13" t="str">
        <f>IF(Tabla4[[#This Row],[Artículo]]="","",IFERROR(Tabla4[[#This Row],[Dif por Unidad]]*Tabla4[[#This Row],[Cantidad]],""))</f>
        <v/>
      </c>
      <c r="M99" s="19" t="str">
        <f t="shared" si="3"/>
        <v/>
      </c>
      <c r="N99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00" spans="5:14" x14ac:dyDescent="0.25">
      <c r="E100" s="12"/>
      <c r="F100" s="12" t="str">
        <f>IF(Tabla4[[#This Row],[Artículo]]="","",IFERROR(_xlfn.XLOOKUP(Tabla4[[#This Row],[Artículo]],Tabla2[Artículo],Tabla2[Precio Unitario ARS],"",0,-1),""))</f>
        <v/>
      </c>
      <c r="G100" s="18" t="str">
        <f>IF(Tabla4[[#This Row],[Artículo]]="","",IFERROR(_xlfn.XLOOKUP(Tabla4[[#This Row],[Artículo]],Tabla2[Artículo],Tabla2[Proveedor],"",0,-1),""))</f>
        <v/>
      </c>
      <c r="H100" s="12" t="str" cm="1">
        <f t="array" ref="H100">IF(Tabla4[[#This Row],[Artículo]]="","",IFERROR(MIN(_xlfn._xlws.FILTER(Tabla2[Precio Unitario ARS],Tabla2[Artículo]=Tabla4[[#This Row],[Artículo]])),""))</f>
        <v/>
      </c>
      <c r="I100" s="12" t="str" cm="1">
        <f t="array" ref="I100">IF(Tabla4[[#This Row],[Artículo]]="","",IFERROR(_xlfn.XLOOKUP(1,(Tabla2[Artículo]=Tabla4[[#This Row],[Artículo]])*(Tabla2[Precio Unitario ARS]=Tabla4[[#This Row],[Mejor Precio]]),Tabla2[Proveedor]),""))</f>
        <v/>
      </c>
      <c r="J100" s="11" t="str">
        <f>IF(Tabla4[[#This Row],[Artículo]]="","",IFERROR((Tabla4[[#This Row],[Precio Cotizado]]-Tabla4[[#This Row],[Últ. Precio]])/Tabla4[[#This Row],[Últ. Precio]],""))</f>
        <v/>
      </c>
      <c r="K100" s="12" t="str">
        <f>IF(Tabla4[[#This Row],[Artículo]]="","",IFERROR(Tabla4[[#This Row],[Precio Cotizado]]-Tabla4[[#This Row],[Mejor Precio]],""))</f>
        <v/>
      </c>
      <c r="L100" s="13" t="str">
        <f>IF(Tabla4[[#This Row],[Artículo]]="","",IFERROR(Tabla4[[#This Row],[Dif por Unidad]]*Tabla4[[#This Row],[Cantidad]],""))</f>
        <v/>
      </c>
      <c r="M100" s="19" t="str">
        <f t="shared" si="3"/>
        <v/>
      </c>
      <c r="N100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01" spans="5:14" x14ac:dyDescent="0.25">
      <c r="E101" s="12"/>
      <c r="F101" s="12" t="str">
        <f>IF(Tabla4[[#This Row],[Artículo]]="","",IFERROR(_xlfn.XLOOKUP(Tabla4[[#This Row],[Artículo]],Tabla2[Artículo],Tabla2[Precio Unitario ARS],"",0,-1),""))</f>
        <v/>
      </c>
      <c r="G101" s="18" t="str">
        <f>IF(Tabla4[[#This Row],[Artículo]]="","",IFERROR(_xlfn.XLOOKUP(Tabla4[[#This Row],[Artículo]],Tabla2[Artículo],Tabla2[Proveedor],"",0,-1),""))</f>
        <v/>
      </c>
      <c r="H101" s="12" t="str" cm="1">
        <f t="array" ref="H101">IF(Tabla4[[#This Row],[Artículo]]="","",IFERROR(MIN(_xlfn._xlws.FILTER(Tabla2[Precio Unitario ARS],Tabla2[Artículo]=Tabla4[[#This Row],[Artículo]])),""))</f>
        <v/>
      </c>
      <c r="I101" s="12" t="str" cm="1">
        <f t="array" ref="I101">IF(Tabla4[[#This Row],[Artículo]]="","",IFERROR(_xlfn.XLOOKUP(1,(Tabla2[Artículo]=Tabla4[[#This Row],[Artículo]])*(Tabla2[Precio Unitario ARS]=Tabla4[[#This Row],[Mejor Precio]]),Tabla2[Proveedor]),""))</f>
        <v/>
      </c>
      <c r="J101" s="11" t="str">
        <f>IF(Tabla4[[#This Row],[Artículo]]="","",IFERROR((Tabla4[[#This Row],[Precio Cotizado]]-Tabla4[[#This Row],[Últ. Precio]])/Tabla4[[#This Row],[Últ. Precio]],""))</f>
        <v/>
      </c>
      <c r="K101" s="12" t="str">
        <f>IF(Tabla4[[#This Row],[Artículo]]="","",IFERROR(Tabla4[[#This Row],[Precio Cotizado]]-Tabla4[[#This Row],[Mejor Precio]],""))</f>
        <v/>
      </c>
      <c r="L101" s="13" t="str">
        <f>IF(Tabla4[[#This Row],[Artículo]]="","",IFERROR(Tabla4[[#This Row],[Dif por Unidad]]*Tabla4[[#This Row],[Cantidad]],""))</f>
        <v/>
      </c>
      <c r="M101" s="19" t="str">
        <f t="shared" si="3"/>
        <v/>
      </c>
      <c r="N101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02" spans="5:14" x14ac:dyDescent="0.25">
      <c r="E102" s="12"/>
      <c r="F102" s="12" t="str">
        <f>IF(Tabla4[[#This Row],[Artículo]]="","",IFERROR(_xlfn.XLOOKUP(Tabla4[[#This Row],[Artículo]],Tabla2[Artículo],Tabla2[Precio Unitario ARS],"",0,-1),""))</f>
        <v/>
      </c>
      <c r="G102" s="18" t="str">
        <f>IF(Tabla4[[#This Row],[Artículo]]="","",IFERROR(_xlfn.XLOOKUP(Tabla4[[#This Row],[Artículo]],Tabla2[Artículo],Tabla2[Proveedor],"",0,-1),""))</f>
        <v/>
      </c>
      <c r="H102" s="12" t="str" cm="1">
        <f t="array" ref="H102">IF(Tabla4[[#This Row],[Artículo]]="","",IFERROR(MIN(_xlfn._xlws.FILTER(Tabla2[Precio Unitario ARS],Tabla2[Artículo]=Tabla4[[#This Row],[Artículo]])),""))</f>
        <v/>
      </c>
      <c r="I102" s="12" t="str" cm="1">
        <f t="array" ref="I102">IF(Tabla4[[#This Row],[Artículo]]="","",IFERROR(_xlfn.XLOOKUP(1,(Tabla2[Artículo]=Tabla4[[#This Row],[Artículo]])*(Tabla2[Precio Unitario ARS]=Tabla4[[#This Row],[Mejor Precio]]),Tabla2[Proveedor]),""))</f>
        <v/>
      </c>
      <c r="J102" s="11" t="str">
        <f>IF(Tabla4[[#This Row],[Artículo]]="","",IFERROR((Tabla4[[#This Row],[Precio Cotizado]]-Tabla4[[#This Row],[Últ. Precio]])/Tabla4[[#This Row],[Últ. Precio]],""))</f>
        <v/>
      </c>
      <c r="K102" s="12" t="str">
        <f>IF(Tabla4[[#This Row],[Artículo]]="","",IFERROR(Tabla4[[#This Row],[Precio Cotizado]]-Tabla4[[#This Row],[Mejor Precio]],""))</f>
        <v/>
      </c>
      <c r="L102" s="13" t="str">
        <f>IF(Tabla4[[#This Row],[Artículo]]="","",IFERROR(Tabla4[[#This Row],[Dif por Unidad]]*Tabla4[[#This Row],[Cantidad]],""))</f>
        <v/>
      </c>
      <c r="M102" s="19" t="str">
        <f t="shared" si="3"/>
        <v/>
      </c>
      <c r="N102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03" spans="5:14" x14ac:dyDescent="0.25">
      <c r="E103" s="12"/>
      <c r="F103" s="12" t="str">
        <f>IF(Tabla4[[#This Row],[Artículo]]="","",IFERROR(_xlfn.XLOOKUP(Tabla4[[#This Row],[Artículo]],Tabla2[Artículo],Tabla2[Precio Unitario ARS],"",0,-1),""))</f>
        <v/>
      </c>
      <c r="G103" s="18" t="str">
        <f>IF(Tabla4[[#This Row],[Artículo]]="","",IFERROR(_xlfn.XLOOKUP(Tabla4[[#This Row],[Artículo]],Tabla2[Artículo],Tabla2[Proveedor],"",0,-1),""))</f>
        <v/>
      </c>
      <c r="H103" s="12" t="str" cm="1">
        <f t="array" ref="H103">IF(Tabla4[[#This Row],[Artículo]]="","",IFERROR(MIN(_xlfn._xlws.FILTER(Tabla2[Precio Unitario ARS],Tabla2[Artículo]=Tabla4[[#This Row],[Artículo]])),""))</f>
        <v/>
      </c>
      <c r="I103" s="12" t="str" cm="1">
        <f t="array" ref="I103">IF(Tabla4[[#This Row],[Artículo]]="","",IFERROR(_xlfn.XLOOKUP(1,(Tabla2[Artículo]=Tabla4[[#This Row],[Artículo]])*(Tabla2[Precio Unitario ARS]=Tabla4[[#This Row],[Mejor Precio]]),Tabla2[Proveedor]),""))</f>
        <v/>
      </c>
      <c r="J103" s="11" t="str">
        <f>IF(Tabla4[[#This Row],[Artículo]]="","",IFERROR((Tabla4[[#This Row],[Precio Cotizado]]-Tabla4[[#This Row],[Últ. Precio]])/Tabla4[[#This Row],[Últ. Precio]],""))</f>
        <v/>
      </c>
      <c r="K103" s="12" t="str">
        <f>IF(Tabla4[[#This Row],[Artículo]]="","",IFERROR(Tabla4[[#This Row],[Precio Cotizado]]-Tabla4[[#This Row],[Mejor Precio]],""))</f>
        <v/>
      </c>
      <c r="L103" s="13" t="str">
        <f>IF(Tabla4[[#This Row],[Artículo]]="","",IFERROR(Tabla4[[#This Row],[Dif por Unidad]]*Tabla4[[#This Row],[Cantidad]],""))</f>
        <v/>
      </c>
      <c r="M103" s="19" t="str">
        <f t="shared" si="3"/>
        <v/>
      </c>
      <c r="N103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04" spans="5:14" x14ac:dyDescent="0.25">
      <c r="E104" s="12"/>
      <c r="F104" s="12" t="str">
        <f>IF(Tabla4[[#This Row],[Artículo]]="","",IFERROR(_xlfn.XLOOKUP(Tabla4[[#This Row],[Artículo]],Tabla2[Artículo],Tabla2[Precio Unitario ARS],"",0,-1),""))</f>
        <v/>
      </c>
      <c r="G104" s="18" t="str">
        <f>IF(Tabla4[[#This Row],[Artículo]]="","",IFERROR(_xlfn.XLOOKUP(Tabla4[[#This Row],[Artículo]],Tabla2[Artículo],Tabla2[Proveedor],"",0,-1),""))</f>
        <v/>
      </c>
      <c r="H104" s="12" t="str" cm="1">
        <f t="array" ref="H104">IF(Tabla4[[#This Row],[Artículo]]="","",IFERROR(MIN(_xlfn._xlws.FILTER(Tabla2[Precio Unitario ARS],Tabla2[Artículo]=Tabla4[[#This Row],[Artículo]])),""))</f>
        <v/>
      </c>
      <c r="I104" s="12" t="str" cm="1">
        <f t="array" ref="I104">IF(Tabla4[[#This Row],[Artículo]]="","",IFERROR(_xlfn.XLOOKUP(1,(Tabla2[Artículo]=Tabla4[[#This Row],[Artículo]])*(Tabla2[Precio Unitario ARS]=Tabla4[[#This Row],[Mejor Precio]]),Tabla2[Proveedor]),""))</f>
        <v/>
      </c>
      <c r="J104" s="11" t="str">
        <f>IF(Tabla4[[#This Row],[Artículo]]="","",IFERROR((Tabla4[[#This Row],[Precio Cotizado]]-Tabla4[[#This Row],[Últ. Precio]])/Tabla4[[#This Row],[Últ. Precio]],""))</f>
        <v/>
      </c>
      <c r="K104" s="12" t="str">
        <f>IF(Tabla4[[#This Row],[Artículo]]="","",IFERROR(Tabla4[[#This Row],[Precio Cotizado]]-Tabla4[[#This Row],[Mejor Precio]],""))</f>
        <v/>
      </c>
      <c r="L104" s="13" t="str">
        <f>IF(Tabla4[[#This Row],[Artículo]]="","",IFERROR(Tabla4[[#This Row],[Dif por Unidad]]*Tabla4[[#This Row],[Cantidad]],""))</f>
        <v/>
      </c>
      <c r="M104" s="19" t="str">
        <f t="shared" si="3"/>
        <v/>
      </c>
      <c r="N104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05" spans="5:14" x14ac:dyDescent="0.25">
      <c r="E105" s="12"/>
      <c r="F105" s="12" t="str">
        <f>IF(Tabla4[[#This Row],[Artículo]]="","",IFERROR(_xlfn.XLOOKUP(Tabla4[[#This Row],[Artículo]],Tabla2[Artículo],Tabla2[Precio Unitario ARS],"",0,-1),""))</f>
        <v/>
      </c>
      <c r="G105" s="18" t="str">
        <f>IF(Tabla4[[#This Row],[Artículo]]="","",IFERROR(_xlfn.XLOOKUP(Tabla4[[#This Row],[Artículo]],Tabla2[Artículo],Tabla2[Proveedor],"",0,-1),""))</f>
        <v/>
      </c>
      <c r="H105" s="12" t="str" cm="1">
        <f t="array" ref="H105">IF(Tabla4[[#This Row],[Artículo]]="","",IFERROR(MIN(_xlfn._xlws.FILTER(Tabla2[Precio Unitario ARS],Tabla2[Artículo]=Tabla4[[#This Row],[Artículo]])),""))</f>
        <v/>
      </c>
      <c r="I105" s="12" t="str" cm="1">
        <f t="array" ref="I105">IF(Tabla4[[#This Row],[Artículo]]="","",IFERROR(_xlfn.XLOOKUP(1,(Tabla2[Artículo]=Tabla4[[#This Row],[Artículo]])*(Tabla2[Precio Unitario ARS]=Tabla4[[#This Row],[Mejor Precio]]),Tabla2[Proveedor]),""))</f>
        <v/>
      </c>
      <c r="J105" s="11" t="str">
        <f>IF(Tabla4[[#This Row],[Artículo]]="","",IFERROR((Tabla4[[#This Row],[Precio Cotizado]]-Tabla4[[#This Row],[Últ. Precio]])/Tabla4[[#This Row],[Últ. Precio]],""))</f>
        <v/>
      </c>
      <c r="K105" s="12" t="str">
        <f>IF(Tabla4[[#This Row],[Artículo]]="","",IFERROR(Tabla4[[#This Row],[Precio Cotizado]]-Tabla4[[#This Row],[Mejor Precio]],""))</f>
        <v/>
      </c>
      <c r="L105" s="13" t="str">
        <f>IF(Tabla4[[#This Row],[Artículo]]="","",IFERROR(Tabla4[[#This Row],[Dif por Unidad]]*Tabla4[[#This Row],[Cantidad]],""))</f>
        <v/>
      </c>
      <c r="M105" s="19" t="str">
        <f t="shared" si="3"/>
        <v/>
      </c>
      <c r="N105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06" spans="5:14" x14ac:dyDescent="0.25">
      <c r="E106" s="12"/>
      <c r="F106" s="12" t="str">
        <f>IF(Tabla4[[#This Row],[Artículo]]="","",IFERROR(_xlfn.XLOOKUP(Tabla4[[#This Row],[Artículo]],Tabla2[Artículo],Tabla2[Precio Unitario ARS],"",0,-1),""))</f>
        <v/>
      </c>
      <c r="G106" s="18" t="str">
        <f>IF(Tabla4[[#This Row],[Artículo]]="","",IFERROR(_xlfn.XLOOKUP(Tabla4[[#This Row],[Artículo]],Tabla2[Artículo],Tabla2[Proveedor],"",0,-1),""))</f>
        <v/>
      </c>
      <c r="H106" s="12" t="str" cm="1">
        <f t="array" ref="H106">IF(Tabla4[[#This Row],[Artículo]]="","",IFERROR(MIN(_xlfn._xlws.FILTER(Tabla2[Precio Unitario ARS],Tabla2[Artículo]=Tabla4[[#This Row],[Artículo]])),""))</f>
        <v/>
      </c>
      <c r="I106" s="12" t="str" cm="1">
        <f t="array" ref="I106">IF(Tabla4[[#This Row],[Artículo]]="","",IFERROR(_xlfn.XLOOKUP(1,(Tabla2[Artículo]=Tabla4[[#This Row],[Artículo]])*(Tabla2[Precio Unitario ARS]=Tabla4[[#This Row],[Mejor Precio]]),Tabla2[Proveedor]),""))</f>
        <v/>
      </c>
      <c r="J106" s="11" t="str">
        <f>IF(Tabla4[[#This Row],[Artículo]]="","",IFERROR((Tabla4[[#This Row],[Precio Cotizado]]-Tabla4[[#This Row],[Últ. Precio]])/Tabla4[[#This Row],[Últ. Precio]],""))</f>
        <v/>
      </c>
      <c r="K106" s="12" t="str">
        <f>IF(Tabla4[[#This Row],[Artículo]]="","",IFERROR(Tabla4[[#This Row],[Precio Cotizado]]-Tabla4[[#This Row],[Mejor Precio]],""))</f>
        <v/>
      </c>
      <c r="L106" s="13" t="str">
        <f>IF(Tabla4[[#This Row],[Artículo]]="","",IFERROR(Tabla4[[#This Row],[Dif por Unidad]]*Tabla4[[#This Row],[Cantidad]],""))</f>
        <v/>
      </c>
      <c r="M106" s="19" t="str">
        <f t="shared" si="3"/>
        <v/>
      </c>
      <c r="N106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07" spans="5:14" x14ac:dyDescent="0.25">
      <c r="E107" s="12"/>
      <c r="F107" s="12" t="str">
        <f>IF(Tabla4[[#This Row],[Artículo]]="","",IFERROR(_xlfn.XLOOKUP(Tabla4[[#This Row],[Artículo]],Tabla2[Artículo],Tabla2[Precio Unitario ARS],"",0,-1),""))</f>
        <v/>
      </c>
      <c r="G107" s="18" t="str">
        <f>IF(Tabla4[[#This Row],[Artículo]]="","",IFERROR(_xlfn.XLOOKUP(Tabla4[[#This Row],[Artículo]],Tabla2[Artículo],Tabla2[Proveedor],"",0,-1),""))</f>
        <v/>
      </c>
      <c r="H107" s="12" t="str" cm="1">
        <f t="array" ref="H107">IF(Tabla4[[#This Row],[Artículo]]="","",IFERROR(MIN(_xlfn._xlws.FILTER(Tabla2[Precio Unitario ARS],Tabla2[Artículo]=Tabla4[[#This Row],[Artículo]])),""))</f>
        <v/>
      </c>
      <c r="I107" s="12" t="str" cm="1">
        <f t="array" ref="I107">IF(Tabla4[[#This Row],[Artículo]]="","",IFERROR(_xlfn.XLOOKUP(1,(Tabla2[Artículo]=Tabla4[[#This Row],[Artículo]])*(Tabla2[Precio Unitario ARS]=Tabla4[[#This Row],[Mejor Precio]]),Tabla2[Proveedor]),""))</f>
        <v/>
      </c>
      <c r="J107" s="11" t="str">
        <f>IF(Tabla4[[#This Row],[Artículo]]="","",IFERROR((Tabla4[[#This Row],[Precio Cotizado]]-Tabla4[[#This Row],[Últ. Precio]])/Tabla4[[#This Row],[Últ. Precio]],""))</f>
        <v/>
      </c>
      <c r="K107" s="12" t="str">
        <f>IF(Tabla4[[#This Row],[Artículo]]="","",IFERROR(Tabla4[[#This Row],[Precio Cotizado]]-Tabla4[[#This Row],[Mejor Precio]],""))</f>
        <v/>
      </c>
      <c r="L107" s="13" t="str">
        <f>IF(Tabla4[[#This Row],[Artículo]]="","",IFERROR(Tabla4[[#This Row],[Dif por Unidad]]*Tabla4[[#This Row],[Cantidad]],""))</f>
        <v/>
      </c>
      <c r="M107" s="19" t="str">
        <f t="shared" si="3"/>
        <v/>
      </c>
      <c r="N107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08" spans="5:14" x14ac:dyDescent="0.25">
      <c r="E108" s="12"/>
      <c r="F108" s="12" t="str">
        <f>IF(Tabla4[[#This Row],[Artículo]]="","",IFERROR(_xlfn.XLOOKUP(Tabla4[[#This Row],[Artículo]],Tabla2[Artículo],Tabla2[Precio Unitario ARS],"",0,-1),""))</f>
        <v/>
      </c>
      <c r="G108" s="18" t="str">
        <f>IF(Tabla4[[#This Row],[Artículo]]="","",IFERROR(_xlfn.XLOOKUP(Tabla4[[#This Row],[Artículo]],Tabla2[Artículo],Tabla2[Proveedor],"",0,-1),""))</f>
        <v/>
      </c>
      <c r="H108" s="12" t="str" cm="1">
        <f t="array" ref="H108">IF(Tabla4[[#This Row],[Artículo]]="","",IFERROR(MIN(_xlfn._xlws.FILTER(Tabla2[Precio Unitario ARS],Tabla2[Artículo]=Tabla4[[#This Row],[Artículo]])),""))</f>
        <v/>
      </c>
      <c r="I108" s="12" t="str" cm="1">
        <f t="array" ref="I108">IF(Tabla4[[#This Row],[Artículo]]="","",IFERROR(_xlfn.XLOOKUP(1,(Tabla2[Artículo]=Tabla4[[#This Row],[Artículo]])*(Tabla2[Precio Unitario ARS]=Tabla4[[#This Row],[Mejor Precio]]),Tabla2[Proveedor]),""))</f>
        <v/>
      </c>
      <c r="J108" s="11" t="str">
        <f>IF(Tabla4[[#This Row],[Artículo]]="","",IFERROR((Tabla4[[#This Row],[Precio Cotizado]]-Tabla4[[#This Row],[Últ. Precio]])/Tabla4[[#This Row],[Últ. Precio]],""))</f>
        <v/>
      </c>
      <c r="K108" s="12" t="str">
        <f>IF(Tabla4[[#This Row],[Artículo]]="","",IFERROR(Tabla4[[#This Row],[Precio Cotizado]]-Tabla4[[#This Row],[Mejor Precio]],""))</f>
        <v/>
      </c>
      <c r="L108" s="13" t="str">
        <f>IF(Tabla4[[#This Row],[Artículo]]="","",IFERROR(Tabla4[[#This Row],[Dif por Unidad]]*Tabla4[[#This Row],[Cantidad]],""))</f>
        <v/>
      </c>
      <c r="M108" s="19" t="str">
        <f t="shared" si="3"/>
        <v/>
      </c>
      <c r="N108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09" spans="5:14" x14ac:dyDescent="0.25">
      <c r="E109" s="12"/>
      <c r="F109" s="12" t="str">
        <f>IF(Tabla4[[#This Row],[Artículo]]="","",IFERROR(_xlfn.XLOOKUP(Tabla4[[#This Row],[Artículo]],Tabla2[Artículo],Tabla2[Precio Unitario ARS],"",0,-1),""))</f>
        <v/>
      </c>
      <c r="G109" s="18" t="str">
        <f>IF(Tabla4[[#This Row],[Artículo]]="","",IFERROR(_xlfn.XLOOKUP(Tabla4[[#This Row],[Artículo]],Tabla2[Artículo],Tabla2[Proveedor],"",0,-1),""))</f>
        <v/>
      </c>
      <c r="H109" s="12" t="str" cm="1">
        <f t="array" ref="H109">IF(Tabla4[[#This Row],[Artículo]]="","",IFERROR(MIN(_xlfn._xlws.FILTER(Tabla2[Precio Unitario ARS],Tabla2[Artículo]=Tabla4[[#This Row],[Artículo]])),""))</f>
        <v/>
      </c>
      <c r="I109" s="12" t="str" cm="1">
        <f t="array" ref="I109">IF(Tabla4[[#This Row],[Artículo]]="","",IFERROR(_xlfn.XLOOKUP(1,(Tabla2[Artículo]=Tabla4[[#This Row],[Artículo]])*(Tabla2[Precio Unitario ARS]=Tabla4[[#This Row],[Mejor Precio]]),Tabla2[Proveedor]),""))</f>
        <v/>
      </c>
      <c r="J109" s="11" t="str">
        <f>IF(Tabla4[[#This Row],[Artículo]]="","",IFERROR((Tabla4[[#This Row],[Precio Cotizado]]-Tabla4[[#This Row],[Últ. Precio]])/Tabla4[[#This Row],[Últ. Precio]],""))</f>
        <v/>
      </c>
      <c r="K109" s="12" t="str">
        <f>IF(Tabla4[[#This Row],[Artículo]]="","",IFERROR(Tabla4[[#This Row],[Precio Cotizado]]-Tabla4[[#This Row],[Mejor Precio]],""))</f>
        <v/>
      </c>
      <c r="L109" s="13" t="str">
        <f>IF(Tabla4[[#This Row],[Artículo]]="","",IFERROR(Tabla4[[#This Row],[Dif por Unidad]]*Tabla4[[#This Row],[Cantidad]],""))</f>
        <v/>
      </c>
      <c r="M109" s="19" t="str">
        <f t="shared" si="3"/>
        <v/>
      </c>
      <c r="N109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10" spans="5:14" x14ac:dyDescent="0.25">
      <c r="E110" s="12"/>
      <c r="F110" s="12" t="str">
        <f>IF(Tabla4[[#This Row],[Artículo]]="","",IFERROR(_xlfn.XLOOKUP(Tabla4[[#This Row],[Artículo]],Tabla2[Artículo],Tabla2[Precio Unitario ARS],"",0,-1),""))</f>
        <v/>
      </c>
      <c r="G110" s="18" t="str">
        <f>IF(Tabla4[[#This Row],[Artículo]]="","",IFERROR(_xlfn.XLOOKUP(Tabla4[[#This Row],[Artículo]],Tabla2[Artículo],Tabla2[Proveedor],"",0,-1),""))</f>
        <v/>
      </c>
      <c r="H110" s="12" t="str" cm="1">
        <f t="array" ref="H110">IF(Tabla4[[#This Row],[Artículo]]="","",IFERROR(MIN(_xlfn._xlws.FILTER(Tabla2[Precio Unitario ARS],Tabla2[Artículo]=Tabla4[[#This Row],[Artículo]])),""))</f>
        <v/>
      </c>
      <c r="I110" s="12" t="str" cm="1">
        <f t="array" ref="I110">IF(Tabla4[[#This Row],[Artículo]]="","",IFERROR(_xlfn.XLOOKUP(1,(Tabla2[Artículo]=Tabla4[[#This Row],[Artículo]])*(Tabla2[Precio Unitario ARS]=Tabla4[[#This Row],[Mejor Precio]]),Tabla2[Proveedor]),""))</f>
        <v/>
      </c>
      <c r="J110" s="11" t="str">
        <f>IF(Tabla4[[#This Row],[Artículo]]="","",IFERROR((Tabla4[[#This Row],[Precio Cotizado]]-Tabla4[[#This Row],[Últ. Precio]])/Tabla4[[#This Row],[Últ. Precio]],""))</f>
        <v/>
      </c>
      <c r="K110" s="12" t="str">
        <f>IF(Tabla4[[#This Row],[Artículo]]="","",IFERROR(Tabla4[[#This Row],[Precio Cotizado]]-Tabla4[[#This Row],[Mejor Precio]],""))</f>
        <v/>
      </c>
      <c r="L110" s="13" t="str">
        <f>IF(Tabla4[[#This Row],[Artículo]]="","",IFERROR(Tabla4[[#This Row],[Dif por Unidad]]*Tabla4[[#This Row],[Cantidad]],""))</f>
        <v/>
      </c>
      <c r="M110" s="19" t="str">
        <f t="shared" si="3"/>
        <v/>
      </c>
      <c r="N110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11" spans="5:14" x14ac:dyDescent="0.25">
      <c r="E111" s="12"/>
      <c r="F111" s="12" t="str">
        <f>IF(Tabla4[[#This Row],[Artículo]]="","",IFERROR(_xlfn.XLOOKUP(Tabla4[[#This Row],[Artículo]],Tabla2[Artículo],Tabla2[Precio Unitario ARS],"",0,-1),""))</f>
        <v/>
      </c>
      <c r="G111" s="18" t="str">
        <f>IF(Tabla4[[#This Row],[Artículo]]="","",IFERROR(_xlfn.XLOOKUP(Tabla4[[#This Row],[Artículo]],Tabla2[Artículo],Tabla2[Proveedor],"",0,-1),""))</f>
        <v/>
      </c>
      <c r="H111" s="12" t="str" cm="1">
        <f t="array" ref="H111">IF(Tabla4[[#This Row],[Artículo]]="","",IFERROR(MIN(_xlfn._xlws.FILTER(Tabla2[Precio Unitario ARS],Tabla2[Artículo]=Tabla4[[#This Row],[Artículo]])),""))</f>
        <v/>
      </c>
      <c r="I111" s="12" t="str" cm="1">
        <f t="array" ref="I111">IF(Tabla4[[#This Row],[Artículo]]="","",IFERROR(_xlfn.XLOOKUP(1,(Tabla2[Artículo]=Tabla4[[#This Row],[Artículo]])*(Tabla2[Precio Unitario ARS]=Tabla4[[#This Row],[Mejor Precio]]),Tabla2[Proveedor]),""))</f>
        <v/>
      </c>
      <c r="J111" s="11" t="str">
        <f>IF(Tabla4[[#This Row],[Artículo]]="","",IFERROR((Tabla4[[#This Row],[Precio Cotizado]]-Tabla4[[#This Row],[Últ. Precio]])/Tabla4[[#This Row],[Últ. Precio]],""))</f>
        <v/>
      </c>
      <c r="K111" s="12" t="str">
        <f>IF(Tabla4[[#This Row],[Artículo]]="","",IFERROR(Tabla4[[#This Row],[Precio Cotizado]]-Tabla4[[#This Row],[Mejor Precio]],""))</f>
        <v/>
      </c>
      <c r="L111" s="13" t="str">
        <f>IF(Tabla4[[#This Row],[Artículo]]="","",IFERROR(Tabla4[[#This Row],[Dif por Unidad]]*Tabla4[[#This Row],[Cantidad]],""))</f>
        <v/>
      </c>
      <c r="M111" s="19" t="str">
        <f t="shared" si="3"/>
        <v/>
      </c>
      <c r="N111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12" spans="5:14" x14ac:dyDescent="0.25">
      <c r="E112" s="12"/>
      <c r="F112" s="12" t="str">
        <f>IF(Tabla4[[#This Row],[Artículo]]="","",IFERROR(_xlfn.XLOOKUP(Tabla4[[#This Row],[Artículo]],Tabla2[Artículo],Tabla2[Precio Unitario ARS],"",0,-1),""))</f>
        <v/>
      </c>
      <c r="G112" s="18" t="str">
        <f>IF(Tabla4[[#This Row],[Artículo]]="","",IFERROR(_xlfn.XLOOKUP(Tabla4[[#This Row],[Artículo]],Tabla2[Artículo],Tabla2[Proveedor],"",0,-1),""))</f>
        <v/>
      </c>
      <c r="H112" s="12" t="str" cm="1">
        <f t="array" ref="H112">IF(Tabla4[[#This Row],[Artículo]]="","",IFERROR(MIN(_xlfn._xlws.FILTER(Tabla2[Precio Unitario ARS],Tabla2[Artículo]=Tabla4[[#This Row],[Artículo]])),""))</f>
        <v/>
      </c>
      <c r="I112" s="12" t="str" cm="1">
        <f t="array" ref="I112">IF(Tabla4[[#This Row],[Artículo]]="","",IFERROR(_xlfn.XLOOKUP(1,(Tabla2[Artículo]=Tabla4[[#This Row],[Artículo]])*(Tabla2[Precio Unitario ARS]=Tabla4[[#This Row],[Mejor Precio]]),Tabla2[Proveedor]),""))</f>
        <v/>
      </c>
      <c r="J112" s="11" t="str">
        <f>IF(Tabla4[[#This Row],[Artículo]]="","",IFERROR((Tabla4[[#This Row],[Precio Cotizado]]-Tabla4[[#This Row],[Últ. Precio]])/Tabla4[[#This Row],[Últ. Precio]],""))</f>
        <v/>
      </c>
      <c r="K112" s="12" t="str">
        <f>IF(Tabla4[[#This Row],[Artículo]]="","",IFERROR(Tabla4[[#This Row],[Precio Cotizado]]-Tabla4[[#This Row],[Mejor Precio]],""))</f>
        <v/>
      </c>
      <c r="L112" s="13" t="str">
        <f>IF(Tabla4[[#This Row],[Artículo]]="","",IFERROR(Tabla4[[#This Row],[Dif por Unidad]]*Tabla4[[#This Row],[Cantidad]],""))</f>
        <v/>
      </c>
      <c r="M112" s="19" t="str">
        <f t="shared" si="3"/>
        <v/>
      </c>
      <c r="N112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13" spans="5:14" x14ac:dyDescent="0.25">
      <c r="E113" s="12"/>
      <c r="F113" s="12" t="str">
        <f>IF(Tabla4[[#This Row],[Artículo]]="","",IFERROR(_xlfn.XLOOKUP(Tabla4[[#This Row],[Artículo]],Tabla2[Artículo],Tabla2[Precio Unitario ARS],"",0,-1),""))</f>
        <v/>
      </c>
      <c r="G113" s="18" t="str">
        <f>IF(Tabla4[[#This Row],[Artículo]]="","",IFERROR(_xlfn.XLOOKUP(Tabla4[[#This Row],[Artículo]],Tabla2[Artículo],Tabla2[Proveedor],"",0,-1),""))</f>
        <v/>
      </c>
      <c r="H113" s="12" t="str" cm="1">
        <f t="array" ref="H113">IF(Tabla4[[#This Row],[Artículo]]="","",IFERROR(MIN(_xlfn._xlws.FILTER(Tabla2[Precio Unitario ARS],Tabla2[Artículo]=Tabla4[[#This Row],[Artículo]])),""))</f>
        <v/>
      </c>
      <c r="I113" s="12" t="str" cm="1">
        <f t="array" ref="I113">IF(Tabla4[[#This Row],[Artículo]]="","",IFERROR(_xlfn.XLOOKUP(1,(Tabla2[Artículo]=Tabla4[[#This Row],[Artículo]])*(Tabla2[Precio Unitario ARS]=Tabla4[[#This Row],[Mejor Precio]]),Tabla2[Proveedor]),""))</f>
        <v/>
      </c>
      <c r="J113" s="11" t="str">
        <f>IF(Tabla4[[#This Row],[Artículo]]="","",IFERROR((Tabla4[[#This Row],[Precio Cotizado]]-Tabla4[[#This Row],[Últ. Precio]])/Tabla4[[#This Row],[Últ. Precio]],""))</f>
        <v/>
      </c>
      <c r="K113" s="12" t="str">
        <f>IF(Tabla4[[#This Row],[Artículo]]="","",IFERROR(Tabla4[[#This Row],[Precio Cotizado]]-Tabla4[[#This Row],[Mejor Precio]],""))</f>
        <v/>
      </c>
      <c r="L113" s="13" t="str">
        <f>IF(Tabla4[[#This Row],[Artículo]]="","",IFERROR(Tabla4[[#This Row],[Dif por Unidad]]*Tabla4[[#This Row],[Cantidad]],""))</f>
        <v/>
      </c>
      <c r="M113" s="19" t="str">
        <f t="shared" si="3"/>
        <v/>
      </c>
      <c r="N113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14" spans="5:14" x14ac:dyDescent="0.25">
      <c r="E114" s="12"/>
      <c r="F114" s="12" t="str">
        <f>IF(Tabla4[[#This Row],[Artículo]]="","",IFERROR(_xlfn.XLOOKUP(Tabla4[[#This Row],[Artículo]],Tabla2[Artículo],Tabla2[Precio Unitario ARS],"",0,-1),""))</f>
        <v/>
      </c>
      <c r="G114" s="18" t="str">
        <f>IF(Tabla4[[#This Row],[Artículo]]="","",IFERROR(_xlfn.XLOOKUP(Tabla4[[#This Row],[Artículo]],Tabla2[Artículo],Tabla2[Proveedor],"",0,-1),""))</f>
        <v/>
      </c>
      <c r="H114" s="12" t="str" cm="1">
        <f t="array" ref="H114">IF(Tabla4[[#This Row],[Artículo]]="","",IFERROR(MIN(_xlfn._xlws.FILTER(Tabla2[Precio Unitario ARS],Tabla2[Artículo]=Tabla4[[#This Row],[Artículo]])),""))</f>
        <v/>
      </c>
      <c r="I114" s="12" t="str" cm="1">
        <f t="array" ref="I114">IF(Tabla4[[#This Row],[Artículo]]="","",IFERROR(_xlfn.XLOOKUP(1,(Tabla2[Artículo]=Tabla4[[#This Row],[Artículo]])*(Tabla2[Precio Unitario ARS]=Tabla4[[#This Row],[Mejor Precio]]),Tabla2[Proveedor]),""))</f>
        <v/>
      </c>
      <c r="J114" s="11" t="str">
        <f>IF(Tabla4[[#This Row],[Artículo]]="","",IFERROR((Tabla4[[#This Row],[Precio Cotizado]]-Tabla4[[#This Row],[Últ. Precio]])/Tabla4[[#This Row],[Últ. Precio]],""))</f>
        <v/>
      </c>
      <c r="K114" s="12" t="str">
        <f>IF(Tabla4[[#This Row],[Artículo]]="","",IFERROR(Tabla4[[#This Row],[Precio Cotizado]]-Tabla4[[#This Row],[Mejor Precio]],""))</f>
        <v/>
      </c>
      <c r="L114" s="13" t="str">
        <f>IF(Tabla4[[#This Row],[Artículo]]="","",IFERROR(Tabla4[[#This Row],[Dif por Unidad]]*Tabla4[[#This Row],[Cantidad]],""))</f>
        <v/>
      </c>
      <c r="M114" s="19" t="str">
        <f t="shared" si="3"/>
        <v/>
      </c>
      <c r="N114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15" spans="5:14" x14ac:dyDescent="0.25">
      <c r="E115" s="12"/>
      <c r="F115" s="12" t="str">
        <f>IF(Tabla4[[#This Row],[Artículo]]="","",IFERROR(_xlfn.XLOOKUP(Tabla4[[#This Row],[Artículo]],Tabla2[Artículo],Tabla2[Precio Unitario ARS],"",0,-1),""))</f>
        <v/>
      </c>
      <c r="G115" s="18" t="str">
        <f>IF(Tabla4[[#This Row],[Artículo]]="","",IFERROR(_xlfn.XLOOKUP(Tabla4[[#This Row],[Artículo]],Tabla2[Artículo],Tabla2[Proveedor],"",0,-1),""))</f>
        <v/>
      </c>
      <c r="H115" s="12" t="str" cm="1">
        <f t="array" ref="H115">IF(Tabla4[[#This Row],[Artículo]]="","",IFERROR(MIN(_xlfn._xlws.FILTER(Tabla2[Precio Unitario ARS],Tabla2[Artículo]=Tabla4[[#This Row],[Artículo]])),""))</f>
        <v/>
      </c>
      <c r="I115" s="12" t="str" cm="1">
        <f t="array" ref="I115">IF(Tabla4[[#This Row],[Artículo]]="","",IFERROR(_xlfn.XLOOKUP(1,(Tabla2[Artículo]=Tabla4[[#This Row],[Artículo]])*(Tabla2[Precio Unitario ARS]=Tabla4[[#This Row],[Mejor Precio]]),Tabla2[Proveedor]),""))</f>
        <v/>
      </c>
      <c r="J115" s="11" t="str">
        <f>IF(Tabla4[[#This Row],[Artículo]]="","",IFERROR((Tabla4[[#This Row],[Precio Cotizado]]-Tabla4[[#This Row],[Últ. Precio]])/Tabla4[[#This Row],[Últ. Precio]],""))</f>
        <v/>
      </c>
      <c r="K115" s="12" t="str">
        <f>IF(Tabla4[[#This Row],[Artículo]]="","",IFERROR(Tabla4[[#This Row],[Precio Cotizado]]-Tabla4[[#This Row],[Mejor Precio]],""))</f>
        <v/>
      </c>
      <c r="L115" s="13" t="str">
        <f>IF(Tabla4[[#This Row],[Artículo]]="","",IFERROR(Tabla4[[#This Row],[Dif por Unidad]]*Tabla4[[#This Row],[Cantidad]],""))</f>
        <v/>
      </c>
      <c r="M115" s="19" t="str">
        <f t="shared" si="3"/>
        <v/>
      </c>
      <c r="N115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16" spans="5:14" x14ac:dyDescent="0.25">
      <c r="E116" s="12"/>
      <c r="F116" s="12" t="str">
        <f>IF(Tabla4[[#This Row],[Artículo]]="","",IFERROR(_xlfn.XLOOKUP(Tabla4[[#This Row],[Artículo]],Tabla2[Artículo],Tabla2[Precio Unitario ARS],"",0,-1),""))</f>
        <v/>
      </c>
      <c r="G116" s="18" t="str">
        <f>IF(Tabla4[[#This Row],[Artículo]]="","",IFERROR(_xlfn.XLOOKUP(Tabla4[[#This Row],[Artículo]],Tabla2[Artículo],Tabla2[Proveedor],"",0,-1),""))</f>
        <v/>
      </c>
      <c r="H116" s="12" t="str" cm="1">
        <f t="array" ref="H116">IF(Tabla4[[#This Row],[Artículo]]="","",IFERROR(MIN(_xlfn._xlws.FILTER(Tabla2[Precio Unitario ARS],Tabla2[Artículo]=Tabla4[[#This Row],[Artículo]])),""))</f>
        <v/>
      </c>
      <c r="I116" s="12" t="str" cm="1">
        <f t="array" ref="I116">IF(Tabla4[[#This Row],[Artículo]]="","",IFERROR(_xlfn.XLOOKUP(1,(Tabla2[Artículo]=Tabla4[[#This Row],[Artículo]])*(Tabla2[Precio Unitario ARS]=Tabla4[[#This Row],[Mejor Precio]]),Tabla2[Proveedor]),""))</f>
        <v/>
      </c>
      <c r="J116" s="11" t="str">
        <f>IF(Tabla4[[#This Row],[Artículo]]="","",IFERROR((Tabla4[[#This Row],[Precio Cotizado]]-Tabla4[[#This Row],[Últ. Precio]])/Tabla4[[#This Row],[Últ. Precio]],""))</f>
        <v/>
      </c>
      <c r="K116" s="12" t="str">
        <f>IF(Tabla4[[#This Row],[Artículo]]="","",IFERROR(Tabla4[[#This Row],[Precio Cotizado]]-Tabla4[[#This Row],[Mejor Precio]],""))</f>
        <v/>
      </c>
      <c r="L116" s="13" t="str">
        <f>IF(Tabla4[[#This Row],[Artículo]]="","",IFERROR(Tabla4[[#This Row],[Dif por Unidad]]*Tabla4[[#This Row],[Cantidad]],""))</f>
        <v/>
      </c>
      <c r="M116" s="19" t="str">
        <f t="shared" si="3"/>
        <v/>
      </c>
      <c r="N116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17" spans="5:14" x14ac:dyDescent="0.25">
      <c r="E117" s="12"/>
      <c r="F117" s="12" t="str">
        <f>IF(Tabla4[[#This Row],[Artículo]]="","",IFERROR(_xlfn.XLOOKUP(Tabla4[[#This Row],[Artículo]],Tabla2[Artículo],Tabla2[Precio Unitario ARS],"",0,-1),""))</f>
        <v/>
      </c>
      <c r="G117" s="18" t="str">
        <f>IF(Tabla4[[#This Row],[Artículo]]="","",IFERROR(_xlfn.XLOOKUP(Tabla4[[#This Row],[Artículo]],Tabla2[Artículo],Tabla2[Proveedor],"",0,-1),""))</f>
        <v/>
      </c>
      <c r="H117" s="12" t="str" cm="1">
        <f t="array" ref="H117">IF(Tabla4[[#This Row],[Artículo]]="","",IFERROR(MIN(_xlfn._xlws.FILTER(Tabla2[Precio Unitario ARS],Tabla2[Artículo]=Tabla4[[#This Row],[Artículo]])),""))</f>
        <v/>
      </c>
      <c r="I117" s="12" t="str" cm="1">
        <f t="array" ref="I117">IF(Tabla4[[#This Row],[Artículo]]="","",IFERROR(_xlfn.XLOOKUP(1,(Tabla2[Artículo]=Tabla4[[#This Row],[Artículo]])*(Tabla2[Precio Unitario ARS]=Tabla4[[#This Row],[Mejor Precio]]),Tabla2[Proveedor]),""))</f>
        <v/>
      </c>
      <c r="J117" s="11" t="str">
        <f>IF(Tabla4[[#This Row],[Artículo]]="","",IFERROR((Tabla4[[#This Row],[Precio Cotizado]]-Tabla4[[#This Row],[Últ. Precio]])/Tabla4[[#This Row],[Últ. Precio]],""))</f>
        <v/>
      </c>
      <c r="K117" s="12" t="str">
        <f>IF(Tabla4[[#This Row],[Artículo]]="","",IFERROR(Tabla4[[#This Row],[Precio Cotizado]]-Tabla4[[#This Row],[Mejor Precio]],""))</f>
        <v/>
      </c>
      <c r="L117" s="13" t="str">
        <f>IF(Tabla4[[#This Row],[Artículo]]="","",IFERROR(Tabla4[[#This Row],[Dif por Unidad]]*Tabla4[[#This Row],[Cantidad]],""))</f>
        <v/>
      </c>
      <c r="M117" s="19" t="str">
        <f t="shared" si="3"/>
        <v/>
      </c>
      <c r="N117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18" spans="5:14" x14ac:dyDescent="0.25">
      <c r="E118" s="12"/>
      <c r="F118" s="12" t="str">
        <f>IF(Tabla4[[#This Row],[Artículo]]="","",IFERROR(_xlfn.XLOOKUP(Tabla4[[#This Row],[Artículo]],Tabla2[Artículo],Tabla2[Precio Unitario ARS],"",0,-1),""))</f>
        <v/>
      </c>
      <c r="G118" s="18" t="str">
        <f>IF(Tabla4[[#This Row],[Artículo]]="","",IFERROR(_xlfn.XLOOKUP(Tabla4[[#This Row],[Artículo]],Tabla2[Artículo],Tabla2[Proveedor],"",0,-1),""))</f>
        <v/>
      </c>
      <c r="H118" s="12" t="str" cm="1">
        <f t="array" ref="H118">IF(Tabla4[[#This Row],[Artículo]]="","",IFERROR(MIN(_xlfn._xlws.FILTER(Tabla2[Precio Unitario ARS],Tabla2[Artículo]=Tabla4[[#This Row],[Artículo]])),""))</f>
        <v/>
      </c>
      <c r="I118" s="12" t="str" cm="1">
        <f t="array" ref="I118">IF(Tabla4[[#This Row],[Artículo]]="","",IFERROR(_xlfn.XLOOKUP(1,(Tabla2[Artículo]=Tabla4[[#This Row],[Artículo]])*(Tabla2[Precio Unitario ARS]=Tabla4[[#This Row],[Mejor Precio]]),Tabla2[Proveedor]),""))</f>
        <v/>
      </c>
      <c r="J118" s="11" t="str">
        <f>IF(Tabla4[[#This Row],[Artículo]]="","",IFERROR((Tabla4[[#This Row],[Precio Cotizado]]-Tabla4[[#This Row],[Últ. Precio]])/Tabla4[[#This Row],[Últ. Precio]],""))</f>
        <v/>
      </c>
      <c r="K118" s="12" t="str">
        <f>IF(Tabla4[[#This Row],[Artículo]]="","",IFERROR(Tabla4[[#This Row],[Precio Cotizado]]-Tabla4[[#This Row],[Mejor Precio]],""))</f>
        <v/>
      </c>
      <c r="L118" s="13" t="str">
        <f>IF(Tabla4[[#This Row],[Artículo]]="","",IFERROR(Tabla4[[#This Row],[Dif por Unidad]]*Tabla4[[#This Row],[Cantidad]],""))</f>
        <v/>
      </c>
      <c r="M118" s="19" t="str">
        <f t="shared" si="3"/>
        <v/>
      </c>
      <c r="N118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19" spans="5:14" x14ac:dyDescent="0.25">
      <c r="E119" s="12"/>
      <c r="F119" s="12" t="str">
        <f>IF(Tabla4[[#This Row],[Artículo]]="","",IFERROR(_xlfn.XLOOKUP(Tabla4[[#This Row],[Artículo]],Tabla2[Artículo],Tabla2[Precio Unitario ARS],"",0,-1),""))</f>
        <v/>
      </c>
      <c r="G119" s="18" t="str">
        <f>IF(Tabla4[[#This Row],[Artículo]]="","",IFERROR(_xlfn.XLOOKUP(Tabla4[[#This Row],[Artículo]],Tabla2[Artículo],Tabla2[Proveedor],"",0,-1),""))</f>
        <v/>
      </c>
      <c r="H119" s="12" t="str" cm="1">
        <f t="array" ref="H119">IF(Tabla4[[#This Row],[Artículo]]="","",IFERROR(MIN(_xlfn._xlws.FILTER(Tabla2[Precio Unitario ARS],Tabla2[Artículo]=Tabla4[[#This Row],[Artículo]])),""))</f>
        <v/>
      </c>
      <c r="I119" s="12" t="str" cm="1">
        <f t="array" ref="I119">IF(Tabla4[[#This Row],[Artículo]]="","",IFERROR(_xlfn.XLOOKUP(1,(Tabla2[Artículo]=Tabla4[[#This Row],[Artículo]])*(Tabla2[Precio Unitario ARS]=Tabla4[[#This Row],[Mejor Precio]]),Tabla2[Proveedor]),""))</f>
        <v/>
      </c>
      <c r="J119" s="11" t="str">
        <f>IF(Tabla4[[#This Row],[Artículo]]="","",IFERROR((Tabla4[[#This Row],[Precio Cotizado]]-Tabla4[[#This Row],[Últ. Precio]])/Tabla4[[#This Row],[Últ. Precio]],""))</f>
        <v/>
      </c>
      <c r="K119" s="12" t="str">
        <f>IF(Tabla4[[#This Row],[Artículo]]="","",IFERROR(Tabla4[[#This Row],[Precio Cotizado]]-Tabla4[[#This Row],[Mejor Precio]],""))</f>
        <v/>
      </c>
      <c r="L119" s="13" t="str">
        <f>IF(Tabla4[[#This Row],[Artículo]]="","",IFERROR(Tabla4[[#This Row],[Dif por Unidad]]*Tabla4[[#This Row],[Cantidad]],""))</f>
        <v/>
      </c>
      <c r="M119" s="19" t="str">
        <f t="shared" si="3"/>
        <v/>
      </c>
      <c r="N119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20" spans="5:14" x14ac:dyDescent="0.25">
      <c r="E120" s="12"/>
      <c r="F120" s="12" t="str">
        <f>IF(Tabla4[[#This Row],[Artículo]]="","",IFERROR(_xlfn.XLOOKUP(Tabla4[[#This Row],[Artículo]],Tabla2[Artículo],Tabla2[Precio Unitario ARS],"",0,-1),""))</f>
        <v/>
      </c>
      <c r="G120" s="18" t="str">
        <f>IF(Tabla4[[#This Row],[Artículo]]="","",IFERROR(_xlfn.XLOOKUP(Tabla4[[#This Row],[Artículo]],Tabla2[Artículo],Tabla2[Proveedor],"",0,-1),""))</f>
        <v/>
      </c>
      <c r="H120" s="12" t="str" cm="1">
        <f t="array" ref="H120">IF(Tabla4[[#This Row],[Artículo]]="","",IFERROR(MIN(_xlfn._xlws.FILTER(Tabla2[Precio Unitario ARS],Tabla2[Artículo]=Tabla4[[#This Row],[Artículo]])),""))</f>
        <v/>
      </c>
      <c r="I120" s="12" t="str" cm="1">
        <f t="array" ref="I120">IF(Tabla4[[#This Row],[Artículo]]="","",IFERROR(_xlfn.XLOOKUP(1,(Tabla2[Artículo]=Tabla4[[#This Row],[Artículo]])*(Tabla2[Precio Unitario ARS]=Tabla4[[#This Row],[Mejor Precio]]),Tabla2[Proveedor]),""))</f>
        <v/>
      </c>
      <c r="J120" s="11" t="str">
        <f>IF(Tabla4[[#This Row],[Artículo]]="","",IFERROR((Tabla4[[#This Row],[Precio Cotizado]]-Tabla4[[#This Row],[Últ. Precio]])/Tabla4[[#This Row],[Últ. Precio]],""))</f>
        <v/>
      </c>
      <c r="K120" s="12" t="str">
        <f>IF(Tabla4[[#This Row],[Artículo]]="","",IFERROR(Tabla4[[#This Row],[Precio Cotizado]]-Tabla4[[#This Row],[Mejor Precio]],""))</f>
        <v/>
      </c>
      <c r="L120" s="13" t="str">
        <f>IF(Tabla4[[#This Row],[Artículo]]="","",IFERROR(Tabla4[[#This Row],[Dif por Unidad]]*Tabla4[[#This Row],[Cantidad]],""))</f>
        <v/>
      </c>
      <c r="M120" s="19" t="str">
        <f t="shared" si="3"/>
        <v/>
      </c>
      <c r="N120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21" spans="5:14" x14ac:dyDescent="0.25">
      <c r="E121" s="12"/>
      <c r="F121" s="12" t="str">
        <f>IF(Tabla4[[#This Row],[Artículo]]="","",IFERROR(_xlfn.XLOOKUP(Tabla4[[#This Row],[Artículo]],Tabla2[Artículo],Tabla2[Precio Unitario ARS],"",0,-1),""))</f>
        <v/>
      </c>
      <c r="G121" s="18" t="str">
        <f>IF(Tabla4[[#This Row],[Artículo]]="","",IFERROR(_xlfn.XLOOKUP(Tabla4[[#This Row],[Artículo]],Tabla2[Artículo],Tabla2[Proveedor],"",0,-1),""))</f>
        <v/>
      </c>
      <c r="H121" s="12" t="str" cm="1">
        <f t="array" ref="H121">IF(Tabla4[[#This Row],[Artículo]]="","",IFERROR(MIN(_xlfn._xlws.FILTER(Tabla2[Precio Unitario ARS],Tabla2[Artículo]=Tabla4[[#This Row],[Artículo]])),""))</f>
        <v/>
      </c>
      <c r="I121" s="12" t="str" cm="1">
        <f t="array" ref="I121">IF(Tabla4[[#This Row],[Artículo]]="","",IFERROR(_xlfn.XLOOKUP(1,(Tabla2[Artículo]=Tabla4[[#This Row],[Artículo]])*(Tabla2[Precio Unitario ARS]=Tabla4[[#This Row],[Mejor Precio]]),Tabla2[Proveedor]),""))</f>
        <v/>
      </c>
      <c r="J121" s="11" t="str">
        <f>IF(Tabla4[[#This Row],[Artículo]]="","",IFERROR((Tabla4[[#This Row],[Precio Cotizado]]-Tabla4[[#This Row],[Últ. Precio]])/Tabla4[[#This Row],[Últ. Precio]],""))</f>
        <v/>
      </c>
      <c r="K121" s="12" t="str">
        <f>IF(Tabla4[[#This Row],[Artículo]]="","",IFERROR(Tabla4[[#This Row],[Precio Cotizado]]-Tabla4[[#This Row],[Mejor Precio]],""))</f>
        <v/>
      </c>
      <c r="L121" s="13" t="str">
        <f>IF(Tabla4[[#This Row],[Artículo]]="","",IFERROR(Tabla4[[#This Row],[Dif por Unidad]]*Tabla4[[#This Row],[Cantidad]],""))</f>
        <v/>
      </c>
      <c r="M121" s="19" t="str">
        <f t="shared" si="3"/>
        <v/>
      </c>
      <c r="N121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22" spans="5:14" x14ac:dyDescent="0.25">
      <c r="E122" s="12"/>
      <c r="F122" s="12" t="str">
        <f>IF(Tabla4[[#This Row],[Artículo]]="","",IFERROR(_xlfn.XLOOKUP(Tabla4[[#This Row],[Artículo]],Tabla2[Artículo],Tabla2[Precio Unitario ARS],"",0,-1),""))</f>
        <v/>
      </c>
      <c r="G122" s="18" t="str">
        <f>IF(Tabla4[[#This Row],[Artículo]]="","",IFERROR(_xlfn.XLOOKUP(Tabla4[[#This Row],[Artículo]],Tabla2[Artículo],Tabla2[Proveedor],"",0,-1),""))</f>
        <v/>
      </c>
      <c r="H122" s="12" t="str" cm="1">
        <f t="array" ref="H122">IF(Tabla4[[#This Row],[Artículo]]="","",IFERROR(MIN(_xlfn._xlws.FILTER(Tabla2[Precio Unitario ARS],Tabla2[Artículo]=Tabla4[[#This Row],[Artículo]])),""))</f>
        <v/>
      </c>
      <c r="I122" s="12" t="str" cm="1">
        <f t="array" ref="I122">IF(Tabla4[[#This Row],[Artículo]]="","",IFERROR(_xlfn.XLOOKUP(1,(Tabla2[Artículo]=Tabla4[[#This Row],[Artículo]])*(Tabla2[Precio Unitario ARS]=Tabla4[[#This Row],[Mejor Precio]]),Tabla2[Proveedor]),""))</f>
        <v/>
      </c>
      <c r="J122" s="11" t="str">
        <f>IF(Tabla4[[#This Row],[Artículo]]="","",IFERROR((Tabla4[[#This Row],[Precio Cotizado]]-Tabla4[[#This Row],[Últ. Precio]])/Tabla4[[#This Row],[Últ. Precio]],""))</f>
        <v/>
      </c>
      <c r="K122" s="12" t="str">
        <f>IF(Tabla4[[#This Row],[Artículo]]="","",IFERROR(Tabla4[[#This Row],[Precio Cotizado]]-Tabla4[[#This Row],[Mejor Precio]],""))</f>
        <v/>
      </c>
      <c r="L122" s="13" t="str">
        <f>IF(Tabla4[[#This Row],[Artículo]]="","",IFERROR(Tabla4[[#This Row],[Dif por Unidad]]*Tabla4[[#This Row],[Cantidad]],""))</f>
        <v/>
      </c>
      <c r="M122" s="19" t="str">
        <f t="shared" si="3"/>
        <v/>
      </c>
      <c r="N122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23" spans="5:14" x14ac:dyDescent="0.25">
      <c r="E123" s="12"/>
      <c r="F123" s="12" t="str">
        <f>IF(Tabla4[[#This Row],[Artículo]]="","",IFERROR(_xlfn.XLOOKUP(Tabla4[[#This Row],[Artículo]],Tabla2[Artículo],Tabla2[Precio Unitario ARS],"",0,-1),""))</f>
        <v/>
      </c>
      <c r="G123" s="18" t="str">
        <f>IF(Tabla4[[#This Row],[Artículo]]="","",IFERROR(_xlfn.XLOOKUP(Tabla4[[#This Row],[Artículo]],Tabla2[Artículo],Tabla2[Proveedor],"",0,-1),""))</f>
        <v/>
      </c>
      <c r="H123" s="12" t="str" cm="1">
        <f t="array" ref="H123">IF(Tabla4[[#This Row],[Artículo]]="","",IFERROR(MIN(_xlfn._xlws.FILTER(Tabla2[Precio Unitario ARS],Tabla2[Artículo]=Tabla4[[#This Row],[Artículo]])),""))</f>
        <v/>
      </c>
      <c r="I123" s="12" t="str" cm="1">
        <f t="array" ref="I123">IF(Tabla4[[#This Row],[Artículo]]="","",IFERROR(_xlfn.XLOOKUP(1,(Tabla2[Artículo]=Tabla4[[#This Row],[Artículo]])*(Tabla2[Precio Unitario ARS]=Tabla4[[#This Row],[Mejor Precio]]),Tabla2[Proveedor]),""))</f>
        <v/>
      </c>
      <c r="J123" s="11" t="str">
        <f>IF(Tabla4[[#This Row],[Artículo]]="","",IFERROR((Tabla4[[#This Row],[Precio Cotizado]]-Tabla4[[#This Row],[Últ. Precio]])/Tabla4[[#This Row],[Últ. Precio]],""))</f>
        <v/>
      </c>
      <c r="K123" s="12" t="str">
        <f>IF(Tabla4[[#This Row],[Artículo]]="","",IFERROR(Tabla4[[#This Row],[Precio Cotizado]]-Tabla4[[#This Row],[Mejor Precio]],""))</f>
        <v/>
      </c>
      <c r="L123" s="13" t="str">
        <f>IF(Tabla4[[#This Row],[Artículo]]="","",IFERROR(Tabla4[[#This Row],[Dif por Unidad]]*Tabla4[[#This Row],[Cantidad]],""))</f>
        <v/>
      </c>
      <c r="M123" s="19" t="str">
        <f t="shared" si="3"/>
        <v/>
      </c>
      <c r="N123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24" spans="5:14" x14ac:dyDescent="0.25">
      <c r="E124" s="12"/>
      <c r="F124" s="12" t="str">
        <f>IF(Tabla4[[#This Row],[Artículo]]="","",IFERROR(_xlfn.XLOOKUP(Tabla4[[#This Row],[Artículo]],Tabla2[Artículo],Tabla2[Precio Unitario ARS],"",0,-1),""))</f>
        <v/>
      </c>
      <c r="G124" s="18" t="str">
        <f>IF(Tabla4[[#This Row],[Artículo]]="","",IFERROR(_xlfn.XLOOKUP(Tabla4[[#This Row],[Artículo]],Tabla2[Artículo],Tabla2[Proveedor],"",0,-1),""))</f>
        <v/>
      </c>
      <c r="H124" s="12" t="str" cm="1">
        <f t="array" ref="H124">IF(Tabla4[[#This Row],[Artículo]]="","",IFERROR(MIN(_xlfn._xlws.FILTER(Tabla2[Precio Unitario ARS],Tabla2[Artículo]=Tabla4[[#This Row],[Artículo]])),""))</f>
        <v/>
      </c>
      <c r="I124" s="12" t="str" cm="1">
        <f t="array" ref="I124">IF(Tabla4[[#This Row],[Artículo]]="","",IFERROR(_xlfn.XLOOKUP(1,(Tabla2[Artículo]=Tabla4[[#This Row],[Artículo]])*(Tabla2[Precio Unitario ARS]=Tabla4[[#This Row],[Mejor Precio]]),Tabla2[Proveedor]),""))</f>
        <v/>
      </c>
      <c r="J124" s="11" t="str">
        <f>IF(Tabla4[[#This Row],[Artículo]]="","",IFERROR((Tabla4[[#This Row],[Precio Cotizado]]-Tabla4[[#This Row],[Últ. Precio]])/Tabla4[[#This Row],[Últ. Precio]],""))</f>
        <v/>
      </c>
      <c r="K124" s="12" t="str">
        <f>IF(Tabla4[[#This Row],[Artículo]]="","",IFERROR(Tabla4[[#This Row],[Precio Cotizado]]-Tabla4[[#This Row],[Mejor Precio]],""))</f>
        <v/>
      </c>
      <c r="L124" s="13" t="str">
        <f>IF(Tabla4[[#This Row],[Artículo]]="","",IFERROR(Tabla4[[#This Row],[Dif por Unidad]]*Tabla4[[#This Row],[Cantidad]],""))</f>
        <v/>
      </c>
      <c r="M124" s="19" t="str">
        <f t="shared" si="3"/>
        <v/>
      </c>
      <c r="N124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25" spans="5:14" x14ac:dyDescent="0.25">
      <c r="E125" s="12"/>
      <c r="F125" s="12" t="str">
        <f>IF(Tabla4[[#This Row],[Artículo]]="","",IFERROR(_xlfn.XLOOKUP(Tabla4[[#This Row],[Artículo]],Tabla2[Artículo],Tabla2[Precio Unitario ARS],"",0,-1),""))</f>
        <v/>
      </c>
      <c r="G125" s="18" t="str">
        <f>IF(Tabla4[[#This Row],[Artículo]]="","",IFERROR(_xlfn.XLOOKUP(Tabla4[[#This Row],[Artículo]],Tabla2[Artículo],Tabla2[Proveedor],"",0,-1),""))</f>
        <v/>
      </c>
      <c r="H125" s="12" t="str" cm="1">
        <f t="array" ref="H125">IF(Tabla4[[#This Row],[Artículo]]="","",IFERROR(MIN(_xlfn._xlws.FILTER(Tabla2[Precio Unitario ARS],Tabla2[Artículo]=Tabla4[[#This Row],[Artículo]])),""))</f>
        <v/>
      </c>
      <c r="I125" s="12" t="str" cm="1">
        <f t="array" ref="I125">IF(Tabla4[[#This Row],[Artículo]]="","",IFERROR(_xlfn.XLOOKUP(1,(Tabla2[Artículo]=Tabla4[[#This Row],[Artículo]])*(Tabla2[Precio Unitario ARS]=Tabla4[[#This Row],[Mejor Precio]]),Tabla2[Proveedor]),""))</f>
        <v/>
      </c>
      <c r="J125" s="11" t="str">
        <f>IF(Tabla4[[#This Row],[Artículo]]="","",IFERROR((Tabla4[[#This Row],[Precio Cotizado]]-Tabla4[[#This Row],[Últ. Precio]])/Tabla4[[#This Row],[Últ. Precio]],""))</f>
        <v/>
      </c>
      <c r="K125" s="12" t="str">
        <f>IF(Tabla4[[#This Row],[Artículo]]="","",IFERROR(Tabla4[[#This Row],[Precio Cotizado]]-Tabla4[[#This Row],[Mejor Precio]],""))</f>
        <v/>
      </c>
      <c r="L125" s="13" t="str">
        <f>IF(Tabla4[[#This Row],[Artículo]]="","",IFERROR(Tabla4[[#This Row],[Dif por Unidad]]*Tabla4[[#This Row],[Cantidad]],""))</f>
        <v/>
      </c>
      <c r="M125" s="19" t="str">
        <f t="shared" si="3"/>
        <v/>
      </c>
      <c r="N125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26" spans="5:14" x14ac:dyDescent="0.25">
      <c r="E126" s="12"/>
      <c r="F126" s="12" t="str">
        <f>IF(Tabla4[[#This Row],[Artículo]]="","",IFERROR(_xlfn.XLOOKUP(Tabla4[[#This Row],[Artículo]],Tabla2[Artículo],Tabla2[Precio Unitario ARS],"",0,-1),""))</f>
        <v/>
      </c>
      <c r="G126" s="18" t="str">
        <f>IF(Tabla4[[#This Row],[Artículo]]="","",IFERROR(_xlfn.XLOOKUP(Tabla4[[#This Row],[Artículo]],Tabla2[Artículo],Tabla2[Proveedor],"",0,-1),""))</f>
        <v/>
      </c>
      <c r="H126" s="12" t="str" cm="1">
        <f t="array" ref="H126">IF(Tabla4[[#This Row],[Artículo]]="","",IFERROR(MIN(_xlfn._xlws.FILTER(Tabla2[Precio Unitario ARS],Tabla2[Artículo]=Tabla4[[#This Row],[Artículo]])),""))</f>
        <v/>
      </c>
      <c r="I126" s="12" t="str" cm="1">
        <f t="array" ref="I126">IF(Tabla4[[#This Row],[Artículo]]="","",IFERROR(_xlfn.XLOOKUP(1,(Tabla2[Artículo]=Tabla4[[#This Row],[Artículo]])*(Tabla2[Precio Unitario ARS]=Tabla4[[#This Row],[Mejor Precio]]),Tabla2[Proveedor]),""))</f>
        <v/>
      </c>
      <c r="J126" s="11" t="str">
        <f>IF(Tabla4[[#This Row],[Artículo]]="","",IFERROR((Tabla4[[#This Row],[Precio Cotizado]]-Tabla4[[#This Row],[Últ. Precio]])/Tabla4[[#This Row],[Últ. Precio]],""))</f>
        <v/>
      </c>
      <c r="K126" s="12" t="str">
        <f>IF(Tabla4[[#This Row],[Artículo]]="","",IFERROR(Tabla4[[#This Row],[Precio Cotizado]]-Tabla4[[#This Row],[Mejor Precio]],""))</f>
        <v/>
      </c>
      <c r="L126" s="13" t="str">
        <f>IF(Tabla4[[#This Row],[Artículo]]="","",IFERROR(Tabla4[[#This Row],[Dif por Unidad]]*Tabla4[[#This Row],[Cantidad]],""))</f>
        <v/>
      </c>
      <c r="M126" s="19" t="str">
        <f t="shared" si="3"/>
        <v/>
      </c>
      <c r="N126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27" spans="5:14" x14ac:dyDescent="0.25">
      <c r="E127" s="12"/>
      <c r="F127" s="12" t="str">
        <f>IF(Tabla4[[#This Row],[Artículo]]="","",IFERROR(_xlfn.XLOOKUP(Tabla4[[#This Row],[Artículo]],Tabla2[Artículo],Tabla2[Precio Unitario ARS],"",0,-1),""))</f>
        <v/>
      </c>
      <c r="G127" s="18" t="str">
        <f>IF(Tabla4[[#This Row],[Artículo]]="","",IFERROR(_xlfn.XLOOKUP(Tabla4[[#This Row],[Artículo]],Tabla2[Artículo],Tabla2[Proveedor],"",0,-1),""))</f>
        <v/>
      </c>
      <c r="H127" s="12" t="str" cm="1">
        <f t="array" ref="H127">IF(Tabla4[[#This Row],[Artículo]]="","",IFERROR(MIN(_xlfn._xlws.FILTER(Tabla2[Precio Unitario ARS],Tabla2[Artículo]=Tabla4[[#This Row],[Artículo]])),""))</f>
        <v/>
      </c>
      <c r="I127" s="12" t="str" cm="1">
        <f t="array" ref="I127">IF(Tabla4[[#This Row],[Artículo]]="","",IFERROR(_xlfn.XLOOKUP(1,(Tabla2[Artículo]=Tabla4[[#This Row],[Artículo]])*(Tabla2[Precio Unitario ARS]=Tabla4[[#This Row],[Mejor Precio]]),Tabla2[Proveedor]),""))</f>
        <v/>
      </c>
      <c r="J127" s="11" t="str">
        <f>IF(Tabla4[[#This Row],[Artículo]]="","",IFERROR((Tabla4[[#This Row],[Precio Cotizado]]-Tabla4[[#This Row],[Últ. Precio]])/Tabla4[[#This Row],[Últ. Precio]],""))</f>
        <v/>
      </c>
      <c r="K127" s="12" t="str">
        <f>IF(Tabla4[[#This Row],[Artículo]]="","",IFERROR(Tabla4[[#This Row],[Precio Cotizado]]-Tabla4[[#This Row],[Mejor Precio]],""))</f>
        <v/>
      </c>
      <c r="L127" s="13" t="str">
        <f>IF(Tabla4[[#This Row],[Artículo]]="","",IFERROR(Tabla4[[#This Row],[Dif por Unidad]]*Tabla4[[#This Row],[Cantidad]],""))</f>
        <v/>
      </c>
      <c r="M127" s="19" t="str">
        <f t="shared" si="3"/>
        <v/>
      </c>
      <c r="N127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28" spans="5:14" x14ac:dyDescent="0.25">
      <c r="E128" s="12"/>
      <c r="F128" s="12" t="str">
        <f>IF(Tabla4[[#This Row],[Artículo]]="","",IFERROR(_xlfn.XLOOKUP(Tabla4[[#This Row],[Artículo]],Tabla2[Artículo],Tabla2[Precio Unitario ARS],"",0,-1),""))</f>
        <v/>
      </c>
      <c r="G128" s="18" t="str">
        <f>IF(Tabla4[[#This Row],[Artículo]]="","",IFERROR(_xlfn.XLOOKUP(Tabla4[[#This Row],[Artículo]],Tabla2[Artículo],Tabla2[Proveedor],"",0,-1),""))</f>
        <v/>
      </c>
      <c r="H128" s="12" t="str" cm="1">
        <f t="array" ref="H128">IF(Tabla4[[#This Row],[Artículo]]="","",IFERROR(MIN(_xlfn._xlws.FILTER(Tabla2[Precio Unitario ARS],Tabla2[Artículo]=Tabla4[[#This Row],[Artículo]])),""))</f>
        <v/>
      </c>
      <c r="I128" s="12" t="str" cm="1">
        <f t="array" ref="I128">IF(Tabla4[[#This Row],[Artículo]]="","",IFERROR(_xlfn.XLOOKUP(1,(Tabla2[Artículo]=Tabla4[[#This Row],[Artículo]])*(Tabla2[Precio Unitario ARS]=Tabla4[[#This Row],[Mejor Precio]]),Tabla2[Proveedor]),""))</f>
        <v/>
      </c>
      <c r="J128" s="11" t="str">
        <f>IF(Tabla4[[#This Row],[Artículo]]="","",IFERROR((Tabla4[[#This Row],[Precio Cotizado]]-Tabla4[[#This Row],[Últ. Precio]])/Tabla4[[#This Row],[Últ. Precio]],""))</f>
        <v/>
      </c>
      <c r="K128" s="12" t="str">
        <f>IF(Tabla4[[#This Row],[Artículo]]="","",IFERROR(Tabla4[[#This Row],[Precio Cotizado]]-Tabla4[[#This Row],[Mejor Precio]],""))</f>
        <v/>
      </c>
      <c r="L128" s="13" t="str">
        <f>IF(Tabla4[[#This Row],[Artículo]]="","",IFERROR(Tabla4[[#This Row],[Dif por Unidad]]*Tabla4[[#This Row],[Cantidad]],""))</f>
        <v/>
      </c>
      <c r="M128" s="19" t="str">
        <f t="shared" si="3"/>
        <v/>
      </c>
      <c r="N128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29" spans="5:14" x14ac:dyDescent="0.25">
      <c r="E129" s="12"/>
      <c r="F129" s="12" t="str">
        <f>IF(Tabla4[[#This Row],[Artículo]]="","",IFERROR(_xlfn.XLOOKUP(Tabla4[[#This Row],[Artículo]],Tabla2[Artículo],Tabla2[Precio Unitario ARS],"",0,-1),""))</f>
        <v/>
      </c>
      <c r="G129" s="18" t="str">
        <f>IF(Tabla4[[#This Row],[Artículo]]="","",IFERROR(_xlfn.XLOOKUP(Tabla4[[#This Row],[Artículo]],Tabla2[Artículo],Tabla2[Proveedor],"",0,-1),""))</f>
        <v/>
      </c>
      <c r="H129" s="12" t="str" cm="1">
        <f t="array" ref="H129">IF(Tabla4[[#This Row],[Artículo]]="","",IFERROR(MIN(_xlfn._xlws.FILTER(Tabla2[Precio Unitario ARS],Tabla2[Artículo]=Tabla4[[#This Row],[Artículo]])),""))</f>
        <v/>
      </c>
      <c r="I129" s="12" t="str" cm="1">
        <f t="array" ref="I129">IF(Tabla4[[#This Row],[Artículo]]="","",IFERROR(_xlfn.XLOOKUP(1,(Tabla2[Artículo]=Tabla4[[#This Row],[Artículo]])*(Tabla2[Precio Unitario ARS]=Tabla4[[#This Row],[Mejor Precio]]),Tabla2[Proveedor]),""))</f>
        <v/>
      </c>
      <c r="J129" s="11" t="str">
        <f>IF(Tabla4[[#This Row],[Artículo]]="","",IFERROR((Tabla4[[#This Row],[Precio Cotizado]]-Tabla4[[#This Row],[Últ. Precio]])/Tabla4[[#This Row],[Últ. Precio]],""))</f>
        <v/>
      </c>
      <c r="K129" s="12" t="str">
        <f>IF(Tabla4[[#This Row],[Artículo]]="","",IFERROR(Tabla4[[#This Row],[Precio Cotizado]]-Tabla4[[#This Row],[Mejor Precio]],""))</f>
        <v/>
      </c>
      <c r="L129" s="13" t="str">
        <f>IF(Tabla4[[#This Row],[Artículo]]="","",IFERROR(Tabla4[[#This Row],[Dif por Unidad]]*Tabla4[[#This Row],[Cantidad]],""))</f>
        <v/>
      </c>
      <c r="M129" s="19" t="str">
        <f t="shared" si="3"/>
        <v/>
      </c>
      <c r="N129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30" spans="5:14" x14ac:dyDescent="0.25">
      <c r="E130" s="12"/>
      <c r="F130" s="12" t="str">
        <f>IF(Tabla4[[#This Row],[Artículo]]="","",IFERROR(_xlfn.XLOOKUP(Tabla4[[#This Row],[Artículo]],Tabla2[Artículo],Tabla2[Precio Unitario ARS],"",0,-1),""))</f>
        <v/>
      </c>
      <c r="G130" s="18" t="str">
        <f>IF(Tabla4[[#This Row],[Artículo]]="","",IFERROR(_xlfn.XLOOKUP(Tabla4[[#This Row],[Artículo]],Tabla2[Artículo],Tabla2[Proveedor],"",0,-1),""))</f>
        <v/>
      </c>
      <c r="H130" s="12" t="str" cm="1">
        <f t="array" ref="H130">IF(Tabla4[[#This Row],[Artículo]]="","",IFERROR(MIN(_xlfn._xlws.FILTER(Tabla2[Precio Unitario ARS],Tabla2[Artículo]=Tabla4[[#This Row],[Artículo]])),""))</f>
        <v/>
      </c>
      <c r="I130" s="12" t="str" cm="1">
        <f t="array" ref="I130">IF(Tabla4[[#This Row],[Artículo]]="","",IFERROR(_xlfn.XLOOKUP(1,(Tabla2[Artículo]=Tabla4[[#This Row],[Artículo]])*(Tabla2[Precio Unitario ARS]=Tabla4[[#This Row],[Mejor Precio]]),Tabla2[Proveedor]),""))</f>
        <v/>
      </c>
      <c r="J130" s="11" t="str">
        <f>IF(Tabla4[[#This Row],[Artículo]]="","",IFERROR((Tabla4[[#This Row],[Precio Cotizado]]-Tabla4[[#This Row],[Últ. Precio]])/Tabla4[[#This Row],[Últ. Precio]],""))</f>
        <v/>
      </c>
      <c r="K130" s="12" t="str">
        <f>IF(Tabla4[[#This Row],[Artículo]]="","",IFERROR(Tabla4[[#This Row],[Precio Cotizado]]-Tabla4[[#This Row],[Mejor Precio]],""))</f>
        <v/>
      </c>
      <c r="L130" s="13" t="str">
        <f>IF(Tabla4[[#This Row],[Artículo]]="","",IFERROR(Tabla4[[#This Row],[Dif por Unidad]]*Tabla4[[#This Row],[Cantidad]],""))</f>
        <v/>
      </c>
      <c r="M130" s="19" t="str">
        <f t="shared" ref="M130:M161" si="4">IF(B130="","",IF(J130&lt;0,"Más barato",IF(J130&lt;=5%,"Dentro del rango",IF(J130&lt;=15%,"Revisar","Precio alto"))))</f>
        <v/>
      </c>
      <c r="N130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31" spans="5:14" x14ac:dyDescent="0.25">
      <c r="E131" s="12"/>
      <c r="F131" s="12" t="str">
        <f>IF(Tabla4[[#This Row],[Artículo]]="","",IFERROR(_xlfn.XLOOKUP(Tabla4[[#This Row],[Artículo]],Tabla2[Artículo],Tabla2[Precio Unitario ARS],"",0,-1),""))</f>
        <v/>
      </c>
      <c r="G131" s="18" t="str">
        <f>IF(Tabla4[[#This Row],[Artículo]]="","",IFERROR(_xlfn.XLOOKUP(Tabla4[[#This Row],[Artículo]],Tabla2[Artículo],Tabla2[Proveedor],"",0,-1),""))</f>
        <v/>
      </c>
      <c r="H131" s="12" t="str" cm="1">
        <f t="array" ref="H131">IF(Tabla4[[#This Row],[Artículo]]="","",IFERROR(MIN(_xlfn._xlws.FILTER(Tabla2[Precio Unitario ARS],Tabla2[Artículo]=Tabla4[[#This Row],[Artículo]])),""))</f>
        <v/>
      </c>
      <c r="I131" s="12" t="str" cm="1">
        <f t="array" ref="I131">IF(Tabla4[[#This Row],[Artículo]]="","",IFERROR(_xlfn.XLOOKUP(1,(Tabla2[Artículo]=Tabla4[[#This Row],[Artículo]])*(Tabla2[Precio Unitario ARS]=Tabla4[[#This Row],[Mejor Precio]]),Tabla2[Proveedor]),""))</f>
        <v/>
      </c>
      <c r="J131" s="11" t="str">
        <f>IF(Tabla4[[#This Row],[Artículo]]="","",IFERROR((Tabla4[[#This Row],[Precio Cotizado]]-Tabla4[[#This Row],[Últ. Precio]])/Tabla4[[#This Row],[Últ. Precio]],""))</f>
        <v/>
      </c>
      <c r="K131" s="12" t="str">
        <f>IF(Tabla4[[#This Row],[Artículo]]="","",IFERROR(Tabla4[[#This Row],[Precio Cotizado]]-Tabla4[[#This Row],[Mejor Precio]],""))</f>
        <v/>
      </c>
      <c r="L131" s="13" t="str">
        <f>IF(Tabla4[[#This Row],[Artículo]]="","",IFERROR(Tabla4[[#This Row],[Dif por Unidad]]*Tabla4[[#This Row],[Cantidad]],""))</f>
        <v/>
      </c>
      <c r="M131" s="19" t="str">
        <f t="shared" si="4"/>
        <v/>
      </c>
      <c r="N131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32" spans="5:14" x14ac:dyDescent="0.25">
      <c r="E132" s="12"/>
      <c r="F132" s="12" t="str">
        <f>IF(Tabla4[[#This Row],[Artículo]]="","",IFERROR(_xlfn.XLOOKUP(Tabla4[[#This Row],[Artículo]],Tabla2[Artículo],Tabla2[Precio Unitario ARS],"",0,-1),""))</f>
        <v/>
      </c>
      <c r="G132" s="18" t="str">
        <f>IF(Tabla4[[#This Row],[Artículo]]="","",IFERROR(_xlfn.XLOOKUP(Tabla4[[#This Row],[Artículo]],Tabla2[Artículo],Tabla2[Proveedor],"",0,-1),""))</f>
        <v/>
      </c>
      <c r="H132" s="12" t="str" cm="1">
        <f t="array" ref="H132">IF(Tabla4[[#This Row],[Artículo]]="","",IFERROR(MIN(_xlfn._xlws.FILTER(Tabla2[Precio Unitario ARS],Tabla2[Artículo]=Tabla4[[#This Row],[Artículo]])),""))</f>
        <v/>
      </c>
      <c r="I132" s="12" t="str" cm="1">
        <f t="array" ref="I132">IF(Tabla4[[#This Row],[Artículo]]="","",IFERROR(_xlfn.XLOOKUP(1,(Tabla2[Artículo]=Tabla4[[#This Row],[Artículo]])*(Tabla2[Precio Unitario ARS]=Tabla4[[#This Row],[Mejor Precio]]),Tabla2[Proveedor]),""))</f>
        <v/>
      </c>
      <c r="J132" s="11" t="str">
        <f>IF(Tabla4[[#This Row],[Artículo]]="","",IFERROR((Tabla4[[#This Row],[Precio Cotizado]]-Tabla4[[#This Row],[Últ. Precio]])/Tabla4[[#This Row],[Últ. Precio]],""))</f>
        <v/>
      </c>
      <c r="K132" s="12" t="str">
        <f>IF(Tabla4[[#This Row],[Artículo]]="","",IFERROR(Tabla4[[#This Row],[Precio Cotizado]]-Tabla4[[#This Row],[Mejor Precio]],""))</f>
        <v/>
      </c>
      <c r="L132" s="13" t="str">
        <f>IF(Tabla4[[#This Row],[Artículo]]="","",IFERROR(Tabla4[[#This Row],[Dif por Unidad]]*Tabla4[[#This Row],[Cantidad]],""))</f>
        <v/>
      </c>
      <c r="M132" s="19" t="str">
        <f t="shared" si="4"/>
        <v/>
      </c>
      <c r="N132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33" spans="5:14" x14ac:dyDescent="0.25">
      <c r="E133" s="12"/>
      <c r="F133" s="12" t="str">
        <f>IF(Tabla4[[#This Row],[Artículo]]="","",IFERROR(_xlfn.XLOOKUP(Tabla4[[#This Row],[Artículo]],Tabla2[Artículo],Tabla2[Precio Unitario ARS],"",0,-1),""))</f>
        <v/>
      </c>
      <c r="G133" s="18" t="str">
        <f>IF(Tabla4[[#This Row],[Artículo]]="","",IFERROR(_xlfn.XLOOKUP(Tabla4[[#This Row],[Artículo]],Tabla2[Artículo],Tabla2[Proveedor],"",0,-1),""))</f>
        <v/>
      </c>
      <c r="H133" s="12" t="str" cm="1">
        <f t="array" ref="H133">IF(Tabla4[[#This Row],[Artículo]]="","",IFERROR(MIN(_xlfn._xlws.FILTER(Tabla2[Precio Unitario ARS],Tabla2[Artículo]=Tabla4[[#This Row],[Artículo]])),""))</f>
        <v/>
      </c>
      <c r="I133" s="12" t="str" cm="1">
        <f t="array" ref="I133">IF(Tabla4[[#This Row],[Artículo]]="","",IFERROR(_xlfn.XLOOKUP(1,(Tabla2[Artículo]=Tabla4[[#This Row],[Artículo]])*(Tabla2[Precio Unitario ARS]=Tabla4[[#This Row],[Mejor Precio]]),Tabla2[Proveedor]),""))</f>
        <v/>
      </c>
      <c r="J133" s="11" t="str">
        <f>IF(Tabla4[[#This Row],[Artículo]]="","",IFERROR((Tabla4[[#This Row],[Precio Cotizado]]-Tabla4[[#This Row],[Últ. Precio]])/Tabla4[[#This Row],[Últ. Precio]],""))</f>
        <v/>
      </c>
      <c r="K133" s="12" t="str">
        <f>IF(Tabla4[[#This Row],[Artículo]]="","",IFERROR(Tabla4[[#This Row],[Precio Cotizado]]-Tabla4[[#This Row],[Mejor Precio]],""))</f>
        <v/>
      </c>
      <c r="L133" s="13" t="str">
        <f>IF(Tabla4[[#This Row],[Artículo]]="","",IFERROR(Tabla4[[#This Row],[Dif por Unidad]]*Tabla4[[#This Row],[Cantidad]],""))</f>
        <v/>
      </c>
      <c r="M133" s="19" t="str">
        <f t="shared" si="4"/>
        <v/>
      </c>
      <c r="N133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34" spans="5:14" x14ac:dyDescent="0.25">
      <c r="E134" s="12"/>
      <c r="F134" s="12" t="str">
        <f>IF(Tabla4[[#This Row],[Artículo]]="","",IFERROR(_xlfn.XLOOKUP(Tabla4[[#This Row],[Artículo]],Tabla2[Artículo],Tabla2[Precio Unitario ARS],"",0,-1),""))</f>
        <v/>
      </c>
      <c r="G134" s="18" t="str">
        <f>IF(Tabla4[[#This Row],[Artículo]]="","",IFERROR(_xlfn.XLOOKUP(Tabla4[[#This Row],[Artículo]],Tabla2[Artículo],Tabla2[Proveedor],"",0,-1),""))</f>
        <v/>
      </c>
      <c r="H134" s="12" t="str" cm="1">
        <f t="array" ref="H134">IF(Tabla4[[#This Row],[Artículo]]="","",IFERROR(MIN(_xlfn._xlws.FILTER(Tabla2[Precio Unitario ARS],Tabla2[Artículo]=Tabla4[[#This Row],[Artículo]])),""))</f>
        <v/>
      </c>
      <c r="I134" s="12" t="str" cm="1">
        <f t="array" ref="I134">IF(Tabla4[[#This Row],[Artículo]]="","",IFERROR(_xlfn.XLOOKUP(1,(Tabla2[Artículo]=Tabla4[[#This Row],[Artículo]])*(Tabla2[Precio Unitario ARS]=Tabla4[[#This Row],[Mejor Precio]]),Tabla2[Proveedor]),""))</f>
        <v/>
      </c>
      <c r="J134" s="11" t="str">
        <f>IF(Tabla4[[#This Row],[Artículo]]="","",IFERROR((Tabla4[[#This Row],[Precio Cotizado]]-Tabla4[[#This Row],[Últ. Precio]])/Tabla4[[#This Row],[Últ. Precio]],""))</f>
        <v/>
      </c>
      <c r="K134" s="12" t="str">
        <f>IF(Tabla4[[#This Row],[Artículo]]="","",IFERROR(Tabla4[[#This Row],[Precio Cotizado]]-Tabla4[[#This Row],[Mejor Precio]],""))</f>
        <v/>
      </c>
      <c r="L134" s="13" t="str">
        <f>IF(Tabla4[[#This Row],[Artículo]]="","",IFERROR(Tabla4[[#This Row],[Dif por Unidad]]*Tabla4[[#This Row],[Cantidad]],""))</f>
        <v/>
      </c>
      <c r="M134" s="19" t="str">
        <f t="shared" si="4"/>
        <v/>
      </c>
      <c r="N134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35" spans="5:14" x14ac:dyDescent="0.25">
      <c r="E135" s="12"/>
      <c r="F135" s="12" t="str">
        <f>IF(Tabla4[[#This Row],[Artículo]]="","",IFERROR(_xlfn.XLOOKUP(Tabla4[[#This Row],[Artículo]],Tabla2[Artículo],Tabla2[Precio Unitario ARS],"",0,-1),""))</f>
        <v/>
      </c>
      <c r="G135" s="18" t="str">
        <f>IF(Tabla4[[#This Row],[Artículo]]="","",IFERROR(_xlfn.XLOOKUP(Tabla4[[#This Row],[Artículo]],Tabla2[Artículo],Tabla2[Proveedor],"",0,-1),""))</f>
        <v/>
      </c>
      <c r="H135" s="12" t="str" cm="1">
        <f t="array" ref="H135">IF(Tabla4[[#This Row],[Artículo]]="","",IFERROR(MIN(_xlfn._xlws.FILTER(Tabla2[Precio Unitario ARS],Tabla2[Artículo]=Tabla4[[#This Row],[Artículo]])),""))</f>
        <v/>
      </c>
      <c r="I135" s="12" t="str" cm="1">
        <f t="array" ref="I135">IF(Tabla4[[#This Row],[Artículo]]="","",IFERROR(_xlfn.XLOOKUP(1,(Tabla2[Artículo]=Tabla4[[#This Row],[Artículo]])*(Tabla2[Precio Unitario ARS]=Tabla4[[#This Row],[Mejor Precio]]),Tabla2[Proveedor]),""))</f>
        <v/>
      </c>
      <c r="J135" s="11" t="str">
        <f>IF(Tabla4[[#This Row],[Artículo]]="","",IFERROR((Tabla4[[#This Row],[Precio Cotizado]]-Tabla4[[#This Row],[Últ. Precio]])/Tabla4[[#This Row],[Últ. Precio]],""))</f>
        <v/>
      </c>
      <c r="K135" s="12" t="str">
        <f>IF(Tabla4[[#This Row],[Artículo]]="","",IFERROR(Tabla4[[#This Row],[Precio Cotizado]]-Tabla4[[#This Row],[Mejor Precio]],""))</f>
        <v/>
      </c>
      <c r="L135" s="13" t="str">
        <f>IF(Tabla4[[#This Row],[Artículo]]="","",IFERROR(Tabla4[[#This Row],[Dif por Unidad]]*Tabla4[[#This Row],[Cantidad]],""))</f>
        <v/>
      </c>
      <c r="M135" s="19" t="str">
        <f t="shared" si="4"/>
        <v/>
      </c>
      <c r="N135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36" spans="5:14" x14ac:dyDescent="0.25">
      <c r="E136" s="12"/>
      <c r="F136" s="12" t="str">
        <f>IF(Tabla4[[#This Row],[Artículo]]="","",IFERROR(_xlfn.XLOOKUP(Tabla4[[#This Row],[Artículo]],Tabla2[Artículo],Tabla2[Precio Unitario ARS],"",0,-1),""))</f>
        <v/>
      </c>
      <c r="G136" s="18" t="str">
        <f>IF(Tabla4[[#This Row],[Artículo]]="","",IFERROR(_xlfn.XLOOKUP(Tabla4[[#This Row],[Artículo]],Tabla2[Artículo],Tabla2[Proveedor],"",0,-1),""))</f>
        <v/>
      </c>
      <c r="H136" s="12" t="str" cm="1">
        <f t="array" ref="H136">IF(Tabla4[[#This Row],[Artículo]]="","",IFERROR(MIN(_xlfn._xlws.FILTER(Tabla2[Precio Unitario ARS],Tabla2[Artículo]=Tabla4[[#This Row],[Artículo]])),""))</f>
        <v/>
      </c>
      <c r="I136" s="12" t="str" cm="1">
        <f t="array" ref="I136">IF(Tabla4[[#This Row],[Artículo]]="","",IFERROR(_xlfn.XLOOKUP(1,(Tabla2[Artículo]=Tabla4[[#This Row],[Artículo]])*(Tabla2[Precio Unitario ARS]=Tabla4[[#This Row],[Mejor Precio]]),Tabla2[Proveedor]),""))</f>
        <v/>
      </c>
      <c r="J136" s="11" t="str">
        <f>IF(Tabla4[[#This Row],[Artículo]]="","",IFERROR((Tabla4[[#This Row],[Precio Cotizado]]-Tabla4[[#This Row],[Últ. Precio]])/Tabla4[[#This Row],[Últ. Precio]],""))</f>
        <v/>
      </c>
      <c r="K136" s="12" t="str">
        <f>IF(Tabla4[[#This Row],[Artículo]]="","",IFERROR(Tabla4[[#This Row],[Precio Cotizado]]-Tabla4[[#This Row],[Mejor Precio]],""))</f>
        <v/>
      </c>
      <c r="L136" s="13" t="str">
        <f>IF(Tabla4[[#This Row],[Artículo]]="","",IFERROR(Tabla4[[#This Row],[Dif por Unidad]]*Tabla4[[#This Row],[Cantidad]],""))</f>
        <v/>
      </c>
      <c r="M136" s="19" t="str">
        <f t="shared" si="4"/>
        <v/>
      </c>
      <c r="N136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37" spans="5:14" x14ac:dyDescent="0.25">
      <c r="E137" s="12"/>
      <c r="F137" s="12" t="str">
        <f>IF(Tabla4[[#This Row],[Artículo]]="","",IFERROR(_xlfn.XLOOKUP(Tabla4[[#This Row],[Artículo]],Tabla2[Artículo],Tabla2[Precio Unitario ARS],"",0,-1),""))</f>
        <v/>
      </c>
      <c r="G137" s="18" t="str">
        <f>IF(Tabla4[[#This Row],[Artículo]]="","",IFERROR(_xlfn.XLOOKUP(Tabla4[[#This Row],[Artículo]],Tabla2[Artículo],Tabla2[Proveedor],"",0,-1),""))</f>
        <v/>
      </c>
      <c r="H137" s="12" t="str" cm="1">
        <f t="array" ref="H137">IF(Tabla4[[#This Row],[Artículo]]="","",IFERROR(MIN(_xlfn._xlws.FILTER(Tabla2[Precio Unitario ARS],Tabla2[Artículo]=Tabla4[[#This Row],[Artículo]])),""))</f>
        <v/>
      </c>
      <c r="I137" s="12" t="str" cm="1">
        <f t="array" ref="I137">IF(Tabla4[[#This Row],[Artículo]]="","",IFERROR(_xlfn.XLOOKUP(1,(Tabla2[Artículo]=Tabla4[[#This Row],[Artículo]])*(Tabla2[Precio Unitario ARS]=Tabla4[[#This Row],[Mejor Precio]]),Tabla2[Proveedor]),""))</f>
        <v/>
      </c>
      <c r="J137" s="11" t="str">
        <f>IF(Tabla4[[#This Row],[Artículo]]="","",IFERROR((Tabla4[[#This Row],[Precio Cotizado]]-Tabla4[[#This Row],[Últ. Precio]])/Tabla4[[#This Row],[Últ. Precio]],""))</f>
        <v/>
      </c>
      <c r="K137" s="12" t="str">
        <f>IF(Tabla4[[#This Row],[Artículo]]="","",IFERROR(Tabla4[[#This Row],[Precio Cotizado]]-Tabla4[[#This Row],[Mejor Precio]],""))</f>
        <v/>
      </c>
      <c r="L137" s="13" t="str">
        <f>IF(Tabla4[[#This Row],[Artículo]]="","",IFERROR(Tabla4[[#This Row],[Dif por Unidad]]*Tabla4[[#This Row],[Cantidad]],""))</f>
        <v/>
      </c>
      <c r="M137" s="19" t="str">
        <f t="shared" si="4"/>
        <v/>
      </c>
      <c r="N137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38" spans="5:14" x14ac:dyDescent="0.25">
      <c r="E138" s="12"/>
      <c r="F138" s="12" t="str">
        <f>IF(Tabla4[[#This Row],[Artículo]]="","",IFERROR(_xlfn.XLOOKUP(Tabla4[[#This Row],[Artículo]],Tabla2[Artículo],Tabla2[Precio Unitario ARS],"",0,-1),""))</f>
        <v/>
      </c>
      <c r="G138" s="18" t="str">
        <f>IF(Tabla4[[#This Row],[Artículo]]="","",IFERROR(_xlfn.XLOOKUP(Tabla4[[#This Row],[Artículo]],Tabla2[Artículo],Tabla2[Proveedor],"",0,-1),""))</f>
        <v/>
      </c>
      <c r="H138" s="12" t="str" cm="1">
        <f t="array" ref="H138">IF(Tabla4[[#This Row],[Artículo]]="","",IFERROR(MIN(_xlfn._xlws.FILTER(Tabla2[Precio Unitario ARS],Tabla2[Artículo]=Tabla4[[#This Row],[Artículo]])),""))</f>
        <v/>
      </c>
      <c r="I138" s="12" t="str" cm="1">
        <f t="array" ref="I138">IF(Tabla4[[#This Row],[Artículo]]="","",IFERROR(_xlfn.XLOOKUP(1,(Tabla2[Artículo]=Tabla4[[#This Row],[Artículo]])*(Tabla2[Precio Unitario ARS]=Tabla4[[#This Row],[Mejor Precio]]),Tabla2[Proveedor]),""))</f>
        <v/>
      </c>
      <c r="J138" s="11" t="str">
        <f>IF(Tabla4[[#This Row],[Artículo]]="","",IFERROR((Tabla4[[#This Row],[Precio Cotizado]]-Tabla4[[#This Row],[Últ. Precio]])/Tabla4[[#This Row],[Últ. Precio]],""))</f>
        <v/>
      </c>
      <c r="K138" s="12" t="str">
        <f>IF(Tabla4[[#This Row],[Artículo]]="","",IFERROR(Tabla4[[#This Row],[Precio Cotizado]]-Tabla4[[#This Row],[Mejor Precio]],""))</f>
        <v/>
      </c>
      <c r="L138" s="13" t="str">
        <f>IF(Tabla4[[#This Row],[Artículo]]="","",IFERROR(Tabla4[[#This Row],[Dif por Unidad]]*Tabla4[[#This Row],[Cantidad]],""))</f>
        <v/>
      </c>
      <c r="M138" s="19" t="str">
        <f t="shared" si="4"/>
        <v/>
      </c>
      <c r="N138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39" spans="5:14" x14ac:dyDescent="0.25">
      <c r="E139" s="12"/>
      <c r="F139" s="12" t="str">
        <f>IF(Tabla4[[#This Row],[Artículo]]="","",IFERROR(_xlfn.XLOOKUP(Tabla4[[#This Row],[Artículo]],Tabla2[Artículo],Tabla2[Precio Unitario ARS],"",0,-1),""))</f>
        <v/>
      </c>
      <c r="G139" s="18" t="str">
        <f>IF(Tabla4[[#This Row],[Artículo]]="","",IFERROR(_xlfn.XLOOKUP(Tabla4[[#This Row],[Artículo]],Tabla2[Artículo],Tabla2[Proveedor],"",0,-1),""))</f>
        <v/>
      </c>
      <c r="H139" s="12" t="str" cm="1">
        <f t="array" ref="H139">IF(Tabla4[[#This Row],[Artículo]]="","",IFERROR(MIN(_xlfn._xlws.FILTER(Tabla2[Precio Unitario ARS],Tabla2[Artículo]=Tabla4[[#This Row],[Artículo]])),""))</f>
        <v/>
      </c>
      <c r="I139" s="12" t="str" cm="1">
        <f t="array" ref="I139">IF(Tabla4[[#This Row],[Artículo]]="","",IFERROR(_xlfn.XLOOKUP(1,(Tabla2[Artículo]=Tabla4[[#This Row],[Artículo]])*(Tabla2[Precio Unitario ARS]=Tabla4[[#This Row],[Mejor Precio]]),Tabla2[Proveedor]),""))</f>
        <v/>
      </c>
      <c r="J139" s="11" t="str">
        <f>IF(Tabla4[[#This Row],[Artículo]]="","",IFERROR((Tabla4[[#This Row],[Precio Cotizado]]-Tabla4[[#This Row],[Últ. Precio]])/Tabla4[[#This Row],[Últ. Precio]],""))</f>
        <v/>
      </c>
      <c r="K139" s="12" t="str">
        <f>IF(Tabla4[[#This Row],[Artículo]]="","",IFERROR(Tabla4[[#This Row],[Precio Cotizado]]-Tabla4[[#This Row],[Mejor Precio]],""))</f>
        <v/>
      </c>
      <c r="L139" s="13" t="str">
        <f>IF(Tabla4[[#This Row],[Artículo]]="","",IFERROR(Tabla4[[#This Row],[Dif por Unidad]]*Tabla4[[#This Row],[Cantidad]],""))</f>
        <v/>
      </c>
      <c r="M139" s="19" t="str">
        <f t="shared" si="4"/>
        <v/>
      </c>
      <c r="N139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40" spans="5:14" x14ac:dyDescent="0.25">
      <c r="E140" s="12"/>
      <c r="F140" s="12" t="str">
        <f>IF(Tabla4[[#This Row],[Artículo]]="","",IFERROR(_xlfn.XLOOKUP(Tabla4[[#This Row],[Artículo]],Tabla2[Artículo],Tabla2[Precio Unitario ARS],"",0,-1),""))</f>
        <v/>
      </c>
      <c r="G140" s="18" t="str">
        <f>IF(Tabla4[[#This Row],[Artículo]]="","",IFERROR(_xlfn.XLOOKUP(Tabla4[[#This Row],[Artículo]],Tabla2[Artículo],Tabla2[Proveedor],"",0,-1),""))</f>
        <v/>
      </c>
      <c r="H140" s="12" t="str" cm="1">
        <f t="array" ref="H140">IF(Tabla4[[#This Row],[Artículo]]="","",IFERROR(MIN(_xlfn._xlws.FILTER(Tabla2[Precio Unitario ARS],Tabla2[Artículo]=Tabla4[[#This Row],[Artículo]])),""))</f>
        <v/>
      </c>
      <c r="I140" s="12" t="str" cm="1">
        <f t="array" ref="I140">IF(Tabla4[[#This Row],[Artículo]]="","",IFERROR(_xlfn.XLOOKUP(1,(Tabla2[Artículo]=Tabla4[[#This Row],[Artículo]])*(Tabla2[Precio Unitario ARS]=Tabla4[[#This Row],[Mejor Precio]]),Tabla2[Proveedor]),""))</f>
        <v/>
      </c>
      <c r="J140" s="11" t="str">
        <f>IF(Tabla4[[#This Row],[Artículo]]="","",IFERROR((Tabla4[[#This Row],[Precio Cotizado]]-Tabla4[[#This Row],[Últ. Precio]])/Tabla4[[#This Row],[Últ. Precio]],""))</f>
        <v/>
      </c>
      <c r="K140" s="12" t="str">
        <f>IF(Tabla4[[#This Row],[Artículo]]="","",IFERROR(Tabla4[[#This Row],[Precio Cotizado]]-Tabla4[[#This Row],[Mejor Precio]],""))</f>
        <v/>
      </c>
      <c r="L140" s="13" t="str">
        <f>IF(Tabla4[[#This Row],[Artículo]]="","",IFERROR(Tabla4[[#This Row],[Dif por Unidad]]*Tabla4[[#This Row],[Cantidad]],""))</f>
        <v/>
      </c>
      <c r="M140" s="19" t="str">
        <f t="shared" si="4"/>
        <v/>
      </c>
      <c r="N140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41" spans="5:14" x14ac:dyDescent="0.25">
      <c r="E141" s="12"/>
      <c r="F141" s="12" t="str">
        <f>IF(Tabla4[[#This Row],[Artículo]]="","",IFERROR(_xlfn.XLOOKUP(Tabla4[[#This Row],[Artículo]],Tabla2[Artículo],Tabla2[Precio Unitario ARS],"",0,-1),""))</f>
        <v/>
      </c>
      <c r="G141" s="18" t="str">
        <f>IF(Tabla4[[#This Row],[Artículo]]="","",IFERROR(_xlfn.XLOOKUP(Tabla4[[#This Row],[Artículo]],Tabla2[Artículo],Tabla2[Proveedor],"",0,-1),""))</f>
        <v/>
      </c>
      <c r="H141" s="12" t="str" cm="1">
        <f t="array" ref="H141">IF(Tabla4[[#This Row],[Artículo]]="","",IFERROR(MIN(_xlfn._xlws.FILTER(Tabla2[Precio Unitario ARS],Tabla2[Artículo]=Tabla4[[#This Row],[Artículo]])),""))</f>
        <v/>
      </c>
      <c r="I141" s="12" t="str" cm="1">
        <f t="array" ref="I141">IF(Tabla4[[#This Row],[Artículo]]="","",IFERROR(_xlfn.XLOOKUP(1,(Tabla2[Artículo]=Tabla4[[#This Row],[Artículo]])*(Tabla2[Precio Unitario ARS]=Tabla4[[#This Row],[Mejor Precio]]),Tabla2[Proveedor]),""))</f>
        <v/>
      </c>
      <c r="J141" s="11" t="str">
        <f>IF(Tabla4[[#This Row],[Artículo]]="","",IFERROR((Tabla4[[#This Row],[Precio Cotizado]]-Tabla4[[#This Row],[Últ. Precio]])/Tabla4[[#This Row],[Últ. Precio]],""))</f>
        <v/>
      </c>
      <c r="K141" s="12" t="str">
        <f>IF(Tabla4[[#This Row],[Artículo]]="","",IFERROR(Tabla4[[#This Row],[Precio Cotizado]]-Tabla4[[#This Row],[Mejor Precio]],""))</f>
        <v/>
      </c>
      <c r="L141" s="13" t="str">
        <f>IF(Tabla4[[#This Row],[Artículo]]="","",IFERROR(Tabla4[[#This Row],[Dif por Unidad]]*Tabla4[[#This Row],[Cantidad]],""))</f>
        <v/>
      </c>
      <c r="M141" s="19" t="str">
        <f t="shared" si="4"/>
        <v/>
      </c>
      <c r="N141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42" spans="5:14" x14ac:dyDescent="0.25">
      <c r="E142" s="12"/>
      <c r="F142" s="12" t="str">
        <f>IF(Tabla4[[#This Row],[Artículo]]="","",IFERROR(_xlfn.XLOOKUP(Tabla4[[#This Row],[Artículo]],Tabla2[Artículo],Tabla2[Precio Unitario ARS],"",0,-1),""))</f>
        <v/>
      </c>
      <c r="G142" s="18" t="str">
        <f>IF(Tabla4[[#This Row],[Artículo]]="","",IFERROR(_xlfn.XLOOKUP(Tabla4[[#This Row],[Artículo]],Tabla2[Artículo],Tabla2[Proveedor],"",0,-1),""))</f>
        <v/>
      </c>
      <c r="H142" s="12" t="str" cm="1">
        <f t="array" ref="H142">IF(Tabla4[[#This Row],[Artículo]]="","",IFERROR(MIN(_xlfn._xlws.FILTER(Tabla2[Precio Unitario ARS],Tabla2[Artículo]=Tabla4[[#This Row],[Artículo]])),""))</f>
        <v/>
      </c>
      <c r="I142" s="12" t="str" cm="1">
        <f t="array" ref="I142">IF(Tabla4[[#This Row],[Artículo]]="","",IFERROR(_xlfn.XLOOKUP(1,(Tabla2[Artículo]=Tabla4[[#This Row],[Artículo]])*(Tabla2[Precio Unitario ARS]=Tabla4[[#This Row],[Mejor Precio]]),Tabla2[Proveedor]),""))</f>
        <v/>
      </c>
      <c r="J142" s="11" t="str">
        <f>IF(Tabla4[[#This Row],[Artículo]]="","",IFERROR((Tabla4[[#This Row],[Precio Cotizado]]-Tabla4[[#This Row],[Últ. Precio]])/Tabla4[[#This Row],[Últ. Precio]],""))</f>
        <v/>
      </c>
      <c r="K142" s="12" t="str">
        <f>IF(Tabla4[[#This Row],[Artículo]]="","",IFERROR(Tabla4[[#This Row],[Precio Cotizado]]-Tabla4[[#This Row],[Mejor Precio]],""))</f>
        <v/>
      </c>
      <c r="L142" s="13" t="str">
        <f>IF(Tabla4[[#This Row],[Artículo]]="","",IFERROR(Tabla4[[#This Row],[Dif por Unidad]]*Tabla4[[#This Row],[Cantidad]],""))</f>
        <v/>
      </c>
      <c r="M142" s="19" t="str">
        <f t="shared" si="4"/>
        <v/>
      </c>
      <c r="N142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43" spans="5:14" x14ac:dyDescent="0.25">
      <c r="E143" s="12"/>
      <c r="F143" s="12" t="str">
        <f>IF(Tabla4[[#This Row],[Artículo]]="","",IFERROR(_xlfn.XLOOKUP(Tabla4[[#This Row],[Artículo]],Tabla2[Artículo],Tabla2[Precio Unitario ARS],"",0,-1),""))</f>
        <v/>
      </c>
      <c r="G143" s="18" t="str">
        <f>IF(Tabla4[[#This Row],[Artículo]]="","",IFERROR(_xlfn.XLOOKUP(Tabla4[[#This Row],[Artículo]],Tabla2[Artículo],Tabla2[Proveedor],"",0,-1),""))</f>
        <v/>
      </c>
      <c r="H143" s="12" t="str" cm="1">
        <f t="array" ref="H143">IF(Tabla4[[#This Row],[Artículo]]="","",IFERROR(MIN(_xlfn._xlws.FILTER(Tabla2[Precio Unitario ARS],Tabla2[Artículo]=Tabla4[[#This Row],[Artículo]])),""))</f>
        <v/>
      </c>
      <c r="I143" s="12" t="str" cm="1">
        <f t="array" ref="I143">IF(Tabla4[[#This Row],[Artículo]]="","",IFERROR(_xlfn.XLOOKUP(1,(Tabla2[Artículo]=Tabla4[[#This Row],[Artículo]])*(Tabla2[Precio Unitario ARS]=Tabla4[[#This Row],[Mejor Precio]]),Tabla2[Proveedor]),""))</f>
        <v/>
      </c>
      <c r="J143" s="11" t="str">
        <f>IF(Tabla4[[#This Row],[Artículo]]="","",IFERROR((Tabla4[[#This Row],[Precio Cotizado]]-Tabla4[[#This Row],[Últ. Precio]])/Tabla4[[#This Row],[Últ. Precio]],""))</f>
        <v/>
      </c>
      <c r="K143" s="12" t="str">
        <f>IF(Tabla4[[#This Row],[Artículo]]="","",IFERROR(Tabla4[[#This Row],[Precio Cotizado]]-Tabla4[[#This Row],[Mejor Precio]],""))</f>
        <v/>
      </c>
      <c r="L143" s="13" t="str">
        <f>IF(Tabla4[[#This Row],[Artículo]]="","",IFERROR(Tabla4[[#This Row],[Dif por Unidad]]*Tabla4[[#This Row],[Cantidad]],""))</f>
        <v/>
      </c>
      <c r="M143" s="19" t="str">
        <f t="shared" si="4"/>
        <v/>
      </c>
      <c r="N143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44" spans="5:14" x14ac:dyDescent="0.25">
      <c r="E144" s="12"/>
      <c r="F144" s="12" t="str">
        <f>IF(Tabla4[[#This Row],[Artículo]]="","",IFERROR(_xlfn.XLOOKUP(Tabla4[[#This Row],[Artículo]],Tabla2[Artículo],Tabla2[Precio Unitario ARS],"",0,-1),""))</f>
        <v/>
      </c>
      <c r="G144" s="18" t="str">
        <f>IF(Tabla4[[#This Row],[Artículo]]="","",IFERROR(_xlfn.XLOOKUP(Tabla4[[#This Row],[Artículo]],Tabla2[Artículo],Tabla2[Proveedor],"",0,-1),""))</f>
        <v/>
      </c>
      <c r="H144" s="12" t="str" cm="1">
        <f t="array" ref="H144">IF(Tabla4[[#This Row],[Artículo]]="","",IFERROR(MIN(_xlfn._xlws.FILTER(Tabla2[Precio Unitario ARS],Tabla2[Artículo]=Tabla4[[#This Row],[Artículo]])),""))</f>
        <v/>
      </c>
      <c r="I144" s="12" t="str" cm="1">
        <f t="array" ref="I144">IF(Tabla4[[#This Row],[Artículo]]="","",IFERROR(_xlfn.XLOOKUP(1,(Tabla2[Artículo]=Tabla4[[#This Row],[Artículo]])*(Tabla2[Precio Unitario ARS]=Tabla4[[#This Row],[Mejor Precio]]),Tabla2[Proveedor]),""))</f>
        <v/>
      </c>
      <c r="J144" s="11" t="str">
        <f>IF(Tabla4[[#This Row],[Artículo]]="","",IFERROR((Tabla4[[#This Row],[Precio Cotizado]]-Tabla4[[#This Row],[Últ. Precio]])/Tabla4[[#This Row],[Últ. Precio]],""))</f>
        <v/>
      </c>
      <c r="K144" s="12" t="str">
        <f>IF(Tabla4[[#This Row],[Artículo]]="","",IFERROR(Tabla4[[#This Row],[Precio Cotizado]]-Tabla4[[#This Row],[Mejor Precio]],""))</f>
        <v/>
      </c>
      <c r="L144" s="13" t="str">
        <f>IF(Tabla4[[#This Row],[Artículo]]="","",IFERROR(Tabla4[[#This Row],[Dif por Unidad]]*Tabla4[[#This Row],[Cantidad]],""))</f>
        <v/>
      </c>
      <c r="M144" s="19" t="str">
        <f t="shared" si="4"/>
        <v/>
      </c>
      <c r="N144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45" spans="5:14" x14ac:dyDescent="0.25">
      <c r="E145" s="12"/>
      <c r="F145" s="12" t="str">
        <f>IF(Tabla4[[#This Row],[Artículo]]="","",IFERROR(_xlfn.XLOOKUP(Tabla4[[#This Row],[Artículo]],Tabla2[Artículo],Tabla2[Precio Unitario ARS],"",0,-1),""))</f>
        <v/>
      </c>
      <c r="G145" s="18" t="str">
        <f>IF(Tabla4[[#This Row],[Artículo]]="","",IFERROR(_xlfn.XLOOKUP(Tabla4[[#This Row],[Artículo]],Tabla2[Artículo],Tabla2[Proveedor],"",0,-1),""))</f>
        <v/>
      </c>
      <c r="H145" s="12" t="str" cm="1">
        <f t="array" ref="H145">IF(Tabla4[[#This Row],[Artículo]]="","",IFERROR(MIN(_xlfn._xlws.FILTER(Tabla2[Precio Unitario ARS],Tabla2[Artículo]=Tabla4[[#This Row],[Artículo]])),""))</f>
        <v/>
      </c>
      <c r="I145" s="12" t="str" cm="1">
        <f t="array" ref="I145">IF(Tabla4[[#This Row],[Artículo]]="","",IFERROR(_xlfn.XLOOKUP(1,(Tabla2[Artículo]=Tabla4[[#This Row],[Artículo]])*(Tabla2[Precio Unitario ARS]=Tabla4[[#This Row],[Mejor Precio]]),Tabla2[Proveedor]),""))</f>
        <v/>
      </c>
      <c r="J145" s="11" t="str">
        <f>IF(Tabla4[[#This Row],[Artículo]]="","",IFERROR((Tabla4[[#This Row],[Precio Cotizado]]-Tabla4[[#This Row],[Últ. Precio]])/Tabla4[[#This Row],[Últ. Precio]],""))</f>
        <v/>
      </c>
      <c r="K145" s="12" t="str">
        <f>IF(Tabla4[[#This Row],[Artículo]]="","",IFERROR(Tabla4[[#This Row],[Precio Cotizado]]-Tabla4[[#This Row],[Mejor Precio]],""))</f>
        <v/>
      </c>
      <c r="L145" s="13" t="str">
        <f>IF(Tabla4[[#This Row],[Artículo]]="","",IFERROR(Tabla4[[#This Row],[Dif por Unidad]]*Tabla4[[#This Row],[Cantidad]],""))</f>
        <v/>
      </c>
      <c r="M145" s="19" t="str">
        <f t="shared" si="4"/>
        <v/>
      </c>
      <c r="N145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46" spans="5:14" x14ac:dyDescent="0.25">
      <c r="E146" s="12"/>
      <c r="F146" s="12" t="str">
        <f>IF(Tabla4[[#This Row],[Artículo]]="","",IFERROR(_xlfn.XLOOKUP(Tabla4[[#This Row],[Artículo]],Tabla2[Artículo],Tabla2[Precio Unitario ARS],"",0,-1),""))</f>
        <v/>
      </c>
      <c r="G146" s="18" t="str">
        <f>IF(Tabla4[[#This Row],[Artículo]]="","",IFERROR(_xlfn.XLOOKUP(Tabla4[[#This Row],[Artículo]],Tabla2[Artículo],Tabla2[Proveedor],"",0,-1),""))</f>
        <v/>
      </c>
      <c r="H146" s="12" t="str" cm="1">
        <f t="array" ref="H146">IF(Tabla4[[#This Row],[Artículo]]="","",IFERROR(MIN(_xlfn._xlws.FILTER(Tabla2[Precio Unitario ARS],Tabla2[Artículo]=Tabla4[[#This Row],[Artículo]])),""))</f>
        <v/>
      </c>
      <c r="I146" s="12" t="str" cm="1">
        <f t="array" ref="I146">IF(Tabla4[[#This Row],[Artículo]]="","",IFERROR(_xlfn.XLOOKUP(1,(Tabla2[Artículo]=Tabla4[[#This Row],[Artículo]])*(Tabla2[Precio Unitario ARS]=Tabla4[[#This Row],[Mejor Precio]]),Tabla2[Proveedor]),""))</f>
        <v/>
      </c>
      <c r="J146" s="11" t="str">
        <f>IF(Tabla4[[#This Row],[Artículo]]="","",IFERROR((Tabla4[[#This Row],[Precio Cotizado]]-Tabla4[[#This Row],[Últ. Precio]])/Tabla4[[#This Row],[Últ. Precio]],""))</f>
        <v/>
      </c>
      <c r="K146" s="12" t="str">
        <f>IF(Tabla4[[#This Row],[Artículo]]="","",IFERROR(Tabla4[[#This Row],[Precio Cotizado]]-Tabla4[[#This Row],[Mejor Precio]],""))</f>
        <v/>
      </c>
      <c r="L146" s="13" t="str">
        <f>IF(Tabla4[[#This Row],[Artículo]]="","",IFERROR(Tabla4[[#This Row],[Dif por Unidad]]*Tabla4[[#This Row],[Cantidad]],""))</f>
        <v/>
      </c>
      <c r="M146" s="19" t="str">
        <f t="shared" si="4"/>
        <v/>
      </c>
      <c r="N146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47" spans="5:14" x14ac:dyDescent="0.25">
      <c r="E147" s="12"/>
      <c r="F147" s="12" t="str">
        <f>IF(Tabla4[[#This Row],[Artículo]]="","",IFERROR(_xlfn.XLOOKUP(Tabla4[[#This Row],[Artículo]],Tabla2[Artículo],Tabla2[Precio Unitario ARS],"",0,-1),""))</f>
        <v/>
      </c>
      <c r="G147" s="18" t="str">
        <f>IF(Tabla4[[#This Row],[Artículo]]="","",IFERROR(_xlfn.XLOOKUP(Tabla4[[#This Row],[Artículo]],Tabla2[Artículo],Tabla2[Proveedor],"",0,-1),""))</f>
        <v/>
      </c>
      <c r="H147" s="12" t="str" cm="1">
        <f t="array" ref="H147">IF(Tabla4[[#This Row],[Artículo]]="","",IFERROR(MIN(_xlfn._xlws.FILTER(Tabla2[Precio Unitario ARS],Tabla2[Artículo]=Tabla4[[#This Row],[Artículo]])),""))</f>
        <v/>
      </c>
      <c r="I147" s="12" t="str" cm="1">
        <f t="array" ref="I147">IF(Tabla4[[#This Row],[Artículo]]="","",IFERROR(_xlfn.XLOOKUP(1,(Tabla2[Artículo]=Tabla4[[#This Row],[Artículo]])*(Tabla2[Precio Unitario ARS]=Tabla4[[#This Row],[Mejor Precio]]),Tabla2[Proveedor]),""))</f>
        <v/>
      </c>
      <c r="J147" s="11" t="str">
        <f>IF(Tabla4[[#This Row],[Artículo]]="","",IFERROR((Tabla4[[#This Row],[Precio Cotizado]]-Tabla4[[#This Row],[Últ. Precio]])/Tabla4[[#This Row],[Últ. Precio]],""))</f>
        <v/>
      </c>
      <c r="K147" s="12" t="str">
        <f>IF(Tabla4[[#This Row],[Artículo]]="","",IFERROR(Tabla4[[#This Row],[Precio Cotizado]]-Tabla4[[#This Row],[Mejor Precio]],""))</f>
        <v/>
      </c>
      <c r="L147" s="13" t="str">
        <f>IF(Tabla4[[#This Row],[Artículo]]="","",IFERROR(Tabla4[[#This Row],[Dif por Unidad]]*Tabla4[[#This Row],[Cantidad]],""))</f>
        <v/>
      </c>
      <c r="M147" s="19" t="str">
        <f t="shared" si="4"/>
        <v/>
      </c>
      <c r="N147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48" spans="5:14" x14ac:dyDescent="0.25">
      <c r="E148" s="12"/>
      <c r="F148" s="12" t="str">
        <f>IF(Tabla4[[#This Row],[Artículo]]="","",IFERROR(_xlfn.XLOOKUP(Tabla4[[#This Row],[Artículo]],Tabla2[Artículo],Tabla2[Precio Unitario ARS],"",0,-1),""))</f>
        <v/>
      </c>
      <c r="G148" s="18" t="str">
        <f>IF(Tabla4[[#This Row],[Artículo]]="","",IFERROR(_xlfn.XLOOKUP(Tabla4[[#This Row],[Artículo]],Tabla2[Artículo],Tabla2[Proveedor],"",0,-1),""))</f>
        <v/>
      </c>
      <c r="H148" s="12" t="str" cm="1">
        <f t="array" ref="H148">IF(Tabla4[[#This Row],[Artículo]]="","",IFERROR(MIN(_xlfn._xlws.FILTER(Tabla2[Precio Unitario ARS],Tabla2[Artículo]=Tabla4[[#This Row],[Artículo]])),""))</f>
        <v/>
      </c>
      <c r="I148" s="12" t="str" cm="1">
        <f t="array" ref="I148">IF(Tabla4[[#This Row],[Artículo]]="","",IFERROR(_xlfn.XLOOKUP(1,(Tabla2[Artículo]=Tabla4[[#This Row],[Artículo]])*(Tabla2[Precio Unitario ARS]=Tabla4[[#This Row],[Mejor Precio]]),Tabla2[Proveedor]),""))</f>
        <v/>
      </c>
      <c r="J148" s="11" t="str">
        <f>IF(Tabla4[[#This Row],[Artículo]]="","",IFERROR((Tabla4[[#This Row],[Precio Cotizado]]-Tabla4[[#This Row],[Últ. Precio]])/Tabla4[[#This Row],[Últ. Precio]],""))</f>
        <v/>
      </c>
      <c r="K148" s="12" t="str">
        <f>IF(Tabla4[[#This Row],[Artículo]]="","",IFERROR(Tabla4[[#This Row],[Precio Cotizado]]-Tabla4[[#This Row],[Mejor Precio]],""))</f>
        <v/>
      </c>
      <c r="L148" s="13" t="str">
        <f>IF(Tabla4[[#This Row],[Artículo]]="","",IFERROR(Tabla4[[#This Row],[Dif por Unidad]]*Tabla4[[#This Row],[Cantidad]],""))</f>
        <v/>
      </c>
      <c r="M148" s="19" t="str">
        <f t="shared" si="4"/>
        <v/>
      </c>
      <c r="N148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49" spans="5:14" x14ac:dyDescent="0.25">
      <c r="E149" s="12"/>
      <c r="F149" s="12" t="str">
        <f>IF(Tabla4[[#This Row],[Artículo]]="","",IFERROR(_xlfn.XLOOKUP(Tabla4[[#This Row],[Artículo]],Tabla2[Artículo],Tabla2[Precio Unitario ARS],"",0,-1),""))</f>
        <v/>
      </c>
      <c r="G149" s="18" t="str">
        <f>IF(Tabla4[[#This Row],[Artículo]]="","",IFERROR(_xlfn.XLOOKUP(Tabla4[[#This Row],[Artículo]],Tabla2[Artículo],Tabla2[Proveedor],"",0,-1),""))</f>
        <v/>
      </c>
      <c r="H149" s="12" t="str" cm="1">
        <f t="array" ref="H149">IF(Tabla4[[#This Row],[Artículo]]="","",IFERROR(MIN(_xlfn._xlws.FILTER(Tabla2[Precio Unitario ARS],Tabla2[Artículo]=Tabla4[[#This Row],[Artículo]])),""))</f>
        <v/>
      </c>
      <c r="I149" s="12" t="str" cm="1">
        <f t="array" ref="I149">IF(Tabla4[[#This Row],[Artículo]]="","",IFERROR(_xlfn.XLOOKUP(1,(Tabla2[Artículo]=Tabla4[[#This Row],[Artículo]])*(Tabla2[Precio Unitario ARS]=Tabla4[[#This Row],[Mejor Precio]]),Tabla2[Proveedor]),""))</f>
        <v/>
      </c>
      <c r="J149" s="11" t="str">
        <f>IF(Tabla4[[#This Row],[Artículo]]="","",IFERROR((Tabla4[[#This Row],[Precio Cotizado]]-Tabla4[[#This Row],[Últ. Precio]])/Tabla4[[#This Row],[Últ. Precio]],""))</f>
        <v/>
      </c>
      <c r="K149" s="12" t="str">
        <f>IF(Tabla4[[#This Row],[Artículo]]="","",IFERROR(Tabla4[[#This Row],[Precio Cotizado]]-Tabla4[[#This Row],[Mejor Precio]],""))</f>
        <v/>
      </c>
      <c r="L149" s="13" t="str">
        <f>IF(Tabla4[[#This Row],[Artículo]]="","",IFERROR(Tabla4[[#This Row],[Dif por Unidad]]*Tabla4[[#This Row],[Cantidad]],""))</f>
        <v/>
      </c>
      <c r="M149" s="19" t="str">
        <f t="shared" si="4"/>
        <v/>
      </c>
      <c r="N149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50" spans="5:14" x14ac:dyDescent="0.25">
      <c r="E150" s="12"/>
      <c r="F150" s="12" t="str">
        <f>IF(Tabla4[[#This Row],[Artículo]]="","",IFERROR(_xlfn.XLOOKUP(Tabla4[[#This Row],[Artículo]],Tabla2[Artículo],Tabla2[Precio Unitario ARS],"",0,-1),""))</f>
        <v/>
      </c>
      <c r="G150" s="18" t="str">
        <f>IF(Tabla4[[#This Row],[Artículo]]="","",IFERROR(_xlfn.XLOOKUP(Tabla4[[#This Row],[Artículo]],Tabla2[Artículo],Tabla2[Proveedor],"",0,-1),""))</f>
        <v/>
      </c>
      <c r="H150" s="12" t="str" cm="1">
        <f t="array" ref="H150">IF(Tabla4[[#This Row],[Artículo]]="","",IFERROR(MIN(_xlfn._xlws.FILTER(Tabla2[Precio Unitario ARS],Tabla2[Artículo]=Tabla4[[#This Row],[Artículo]])),""))</f>
        <v/>
      </c>
      <c r="I150" s="12" t="str" cm="1">
        <f t="array" ref="I150">IF(Tabla4[[#This Row],[Artículo]]="","",IFERROR(_xlfn.XLOOKUP(1,(Tabla2[Artículo]=Tabla4[[#This Row],[Artículo]])*(Tabla2[Precio Unitario ARS]=Tabla4[[#This Row],[Mejor Precio]]),Tabla2[Proveedor]),""))</f>
        <v/>
      </c>
      <c r="J150" s="11" t="str">
        <f>IF(Tabla4[[#This Row],[Artículo]]="","",IFERROR((Tabla4[[#This Row],[Precio Cotizado]]-Tabla4[[#This Row],[Últ. Precio]])/Tabla4[[#This Row],[Últ. Precio]],""))</f>
        <v/>
      </c>
      <c r="K150" s="12" t="str">
        <f>IF(Tabla4[[#This Row],[Artículo]]="","",IFERROR(Tabla4[[#This Row],[Precio Cotizado]]-Tabla4[[#This Row],[Mejor Precio]],""))</f>
        <v/>
      </c>
      <c r="L150" s="13" t="str">
        <f>IF(Tabla4[[#This Row],[Artículo]]="","",IFERROR(Tabla4[[#This Row],[Dif por Unidad]]*Tabla4[[#This Row],[Cantidad]],""))</f>
        <v/>
      </c>
      <c r="M150" s="19" t="str">
        <f t="shared" si="4"/>
        <v/>
      </c>
      <c r="N150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51" spans="5:14" x14ac:dyDescent="0.25">
      <c r="E151" s="12"/>
      <c r="F151" s="12" t="str">
        <f>IF(Tabla4[[#This Row],[Artículo]]="","",IFERROR(_xlfn.XLOOKUP(Tabla4[[#This Row],[Artículo]],Tabla2[Artículo],Tabla2[Precio Unitario ARS],"",0,-1),""))</f>
        <v/>
      </c>
      <c r="G151" s="18" t="str">
        <f>IF(Tabla4[[#This Row],[Artículo]]="","",IFERROR(_xlfn.XLOOKUP(Tabla4[[#This Row],[Artículo]],Tabla2[Artículo],Tabla2[Proveedor],"",0,-1),""))</f>
        <v/>
      </c>
      <c r="H151" s="12" t="str" cm="1">
        <f t="array" ref="H151">IF(Tabla4[[#This Row],[Artículo]]="","",IFERROR(MIN(_xlfn._xlws.FILTER(Tabla2[Precio Unitario ARS],Tabla2[Artículo]=Tabla4[[#This Row],[Artículo]])),""))</f>
        <v/>
      </c>
      <c r="I151" s="12" t="str" cm="1">
        <f t="array" ref="I151">IF(Tabla4[[#This Row],[Artículo]]="","",IFERROR(_xlfn.XLOOKUP(1,(Tabla2[Artículo]=Tabla4[[#This Row],[Artículo]])*(Tabla2[Precio Unitario ARS]=Tabla4[[#This Row],[Mejor Precio]]),Tabla2[Proveedor]),""))</f>
        <v/>
      </c>
      <c r="J151" s="11" t="str">
        <f>IF(Tabla4[[#This Row],[Artículo]]="","",IFERROR((Tabla4[[#This Row],[Precio Cotizado]]-Tabla4[[#This Row],[Últ. Precio]])/Tabla4[[#This Row],[Últ. Precio]],""))</f>
        <v/>
      </c>
      <c r="K151" s="12" t="str">
        <f>IF(Tabla4[[#This Row],[Artículo]]="","",IFERROR(Tabla4[[#This Row],[Precio Cotizado]]-Tabla4[[#This Row],[Mejor Precio]],""))</f>
        <v/>
      </c>
      <c r="L151" s="13" t="str">
        <f>IF(Tabla4[[#This Row],[Artículo]]="","",IFERROR(Tabla4[[#This Row],[Dif por Unidad]]*Tabla4[[#This Row],[Cantidad]],""))</f>
        <v/>
      </c>
      <c r="M151" s="19" t="str">
        <f t="shared" si="4"/>
        <v/>
      </c>
      <c r="N151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52" spans="5:14" x14ac:dyDescent="0.25">
      <c r="E152" s="12"/>
      <c r="F152" s="12" t="str">
        <f>IF(Tabla4[[#This Row],[Artículo]]="","",IFERROR(_xlfn.XLOOKUP(Tabla4[[#This Row],[Artículo]],Tabla2[Artículo],Tabla2[Precio Unitario ARS],"",0,-1),""))</f>
        <v/>
      </c>
      <c r="G152" s="18" t="str">
        <f>IF(Tabla4[[#This Row],[Artículo]]="","",IFERROR(_xlfn.XLOOKUP(Tabla4[[#This Row],[Artículo]],Tabla2[Artículo],Tabla2[Proveedor],"",0,-1),""))</f>
        <v/>
      </c>
      <c r="H152" s="12" t="str" cm="1">
        <f t="array" ref="H152">IF(Tabla4[[#This Row],[Artículo]]="","",IFERROR(MIN(_xlfn._xlws.FILTER(Tabla2[Precio Unitario ARS],Tabla2[Artículo]=Tabla4[[#This Row],[Artículo]])),""))</f>
        <v/>
      </c>
      <c r="I152" s="12" t="str" cm="1">
        <f t="array" ref="I152">IF(Tabla4[[#This Row],[Artículo]]="","",IFERROR(_xlfn.XLOOKUP(1,(Tabla2[Artículo]=Tabla4[[#This Row],[Artículo]])*(Tabla2[Precio Unitario ARS]=Tabla4[[#This Row],[Mejor Precio]]),Tabla2[Proveedor]),""))</f>
        <v/>
      </c>
      <c r="J152" s="11" t="str">
        <f>IF(Tabla4[[#This Row],[Artículo]]="","",IFERROR((Tabla4[[#This Row],[Precio Cotizado]]-Tabla4[[#This Row],[Últ. Precio]])/Tabla4[[#This Row],[Últ. Precio]],""))</f>
        <v/>
      </c>
      <c r="K152" s="12" t="str">
        <f>IF(Tabla4[[#This Row],[Artículo]]="","",IFERROR(Tabla4[[#This Row],[Precio Cotizado]]-Tabla4[[#This Row],[Mejor Precio]],""))</f>
        <v/>
      </c>
      <c r="L152" s="13" t="str">
        <f>IF(Tabla4[[#This Row],[Artículo]]="","",IFERROR(Tabla4[[#This Row],[Dif por Unidad]]*Tabla4[[#This Row],[Cantidad]],""))</f>
        <v/>
      </c>
      <c r="M152" s="19" t="str">
        <f t="shared" si="4"/>
        <v/>
      </c>
      <c r="N152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53" spans="5:14" x14ac:dyDescent="0.25">
      <c r="E153" s="12"/>
      <c r="F153" s="12" t="str">
        <f>IF(Tabla4[[#This Row],[Artículo]]="","",IFERROR(_xlfn.XLOOKUP(Tabla4[[#This Row],[Artículo]],Tabla2[Artículo],Tabla2[Precio Unitario ARS],"",0,-1),""))</f>
        <v/>
      </c>
      <c r="G153" s="18" t="str">
        <f>IF(Tabla4[[#This Row],[Artículo]]="","",IFERROR(_xlfn.XLOOKUP(Tabla4[[#This Row],[Artículo]],Tabla2[Artículo],Tabla2[Proveedor],"",0,-1),""))</f>
        <v/>
      </c>
      <c r="H153" s="12" t="str" cm="1">
        <f t="array" ref="H153">IF(Tabla4[[#This Row],[Artículo]]="","",IFERROR(MIN(_xlfn._xlws.FILTER(Tabla2[Precio Unitario ARS],Tabla2[Artículo]=Tabla4[[#This Row],[Artículo]])),""))</f>
        <v/>
      </c>
      <c r="I153" s="12" t="str" cm="1">
        <f t="array" ref="I153">IF(Tabla4[[#This Row],[Artículo]]="","",IFERROR(_xlfn.XLOOKUP(1,(Tabla2[Artículo]=Tabla4[[#This Row],[Artículo]])*(Tabla2[Precio Unitario ARS]=Tabla4[[#This Row],[Mejor Precio]]),Tabla2[Proveedor]),""))</f>
        <v/>
      </c>
      <c r="J153" s="11" t="str">
        <f>IF(Tabla4[[#This Row],[Artículo]]="","",IFERROR((Tabla4[[#This Row],[Precio Cotizado]]-Tabla4[[#This Row],[Últ. Precio]])/Tabla4[[#This Row],[Últ. Precio]],""))</f>
        <v/>
      </c>
      <c r="K153" s="12" t="str">
        <f>IF(Tabla4[[#This Row],[Artículo]]="","",IFERROR(Tabla4[[#This Row],[Precio Cotizado]]-Tabla4[[#This Row],[Mejor Precio]],""))</f>
        <v/>
      </c>
      <c r="L153" s="13" t="str">
        <f>IF(Tabla4[[#This Row],[Artículo]]="","",IFERROR(Tabla4[[#This Row],[Dif por Unidad]]*Tabla4[[#This Row],[Cantidad]],""))</f>
        <v/>
      </c>
      <c r="M153" s="19" t="str">
        <f t="shared" si="4"/>
        <v/>
      </c>
      <c r="N153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54" spans="5:14" x14ac:dyDescent="0.25">
      <c r="E154" s="12"/>
      <c r="F154" s="12" t="str">
        <f>IF(Tabla4[[#This Row],[Artículo]]="","",IFERROR(_xlfn.XLOOKUP(Tabla4[[#This Row],[Artículo]],Tabla2[Artículo],Tabla2[Precio Unitario ARS],"",0,-1),""))</f>
        <v/>
      </c>
      <c r="G154" s="18" t="str">
        <f>IF(Tabla4[[#This Row],[Artículo]]="","",IFERROR(_xlfn.XLOOKUP(Tabla4[[#This Row],[Artículo]],Tabla2[Artículo],Tabla2[Proveedor],"",0,-1),""))</f>
        <v/>
      </c>
      <c r="H154" s="12" t="str" cm="1">
        <f t="array" ref="H154">IF(Tabla4[[#This Row],[Artículo]]="","",IFERROR(MIN(_xlfn._xlws.FILTER(Tabla2[Precio Unitario ARS],Tabla2[Artículo]=Tabla4[[#This Row],[Artículo]])),""))</f>
        <v/>
      </c>
      <c r="I154" s="12" t="str" cm="1">
        <f t="array" ref="I154">IF(Tabla4[[#This Row],[Artículo]]="","",IFERROR(_xlfn.XLOOKUP(1,(Tabla2[Artículo]=Tabla4[[#This Row],[Artículo]])*(Tabla2[Precio Unitario ARS]=Tabla4[[#This Row],[Mejor Precio]]),Tabla2[Proveedor]),""))</f>
        <v/>
      </c>
      <c r="J154" s="11" t="str">
        <f>IF(Tabla4[[#This Row],[Artículo]]="","",IFERROR((Tabla4[[#This Row],[Precio Cotizado]]-Tabla4[[#This Row],[Últ. Precio]])/Tabla4[[#This Row],[Últ. Precio]],""))</f>
        <v/>
      </c>
      <c r="K154" s="12" t="str">
        <f>IF(Tabla4[[#This Row],[Artículo]]="","",IFERROR(Tabla4[[#This Row],[Precio Cotizado]]-Tabla4[[#This Row],[Mejor Precio]],""))</f>
        <v/>
      </c>
      <c r="L154" s="13" t="str">
        <f>IF(Tabla4[[#This Row],[Artículo]]="","",IFERROR(Tabla4[[#This Row],[Dif por Unidad]]*Tabla4[[#This Row],[Cantidad]],""))</f>
        <v/>
      </c>
      <c r="M154" s="19" t="str">
        <f t="shared" si="4"/>
        <v/>
      </c>
      <c r="N154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55" spans="5:14" x14ac:dyDescent="0.25">
      <c r="E155" s="12"/>
      <c r="F155" s="12" t="str">
        <f>IF(Tabla4[[#This Row],[Artículo]]="","",IFERROR(_xlfn.XLOOKUP(Tabla4[[#This Row],[Artículo]],Tabla2[Artículo],Tabla2[Precio Unitario ARS],"",0,-1),""))</f>
        <v/>
      </c>
      <c r="G155" s="18" t="str">
        <f>IF(Tabla4[[#This Row],[Artículo]]="","",IFERROR(_xlfn.XLOOKUP(Tabla4[[#This Row],[Artículo]],Tabla2[Artículo],Tabla2[Proveedor],"",0,-1),""))</f>
        <v/>
      </c>
      <c r="H155" s="12" t="str" cm="1">
        <f t="array" ref="H155">IF(Tabla4[[#This Row],[Artículo]]="","",IFERROR(MIN(_xlfn._xlws.FILTER(Tabla2[Precio Unitario ARS],Tabla2[Artículo]=Tabla4[[#This Row],[Artículo]])),""))</f>
        <v/>
      </c>
      <c r="I155" s="12" t="str" cm="1">
        <f t="array" ref="I155">IF(Tabla4[[#This Row],[Artículo]]="","",IFERROR(_xlfn.XLOOKUP(1,(Tabla2[Artículo]=Tabla4[[#This Row],[Artículo]])*(Tabla2[Precio Unitario ARS]=Tabla4[[#This Row],[Mejor Precio]]),Tabla2[Proveedor]),""))</f>
        <v/>
      </c>
      <c r="J155" s="11" t="str">
        <f>IF(Tabla4[[#This Row],[Artículo]]="","",IFERROR((Tabla4[[#This Row],[Precio Cotizado]]-Tabla4[[#This Row],[Últ. Precio]])/Tabla4[[#This Row],[Últ. Precio]],""))</f>
        <v/>
      </c>
      <c r="K155" s="12" t="str">
        <f>IF(Tabla4[[#This Row],[Artículo]]="","",IFERROR(Tabla4[[#This Row],[Precio Cotizado]]-Tabla4[[#This Row],[Mejor Precio]],""))</f>
        <v/>
      </c>
      <c r="L155" s="13" t="str">
        <f>IF(Tabla4[[#This Row],[Artículo]]="","",IFERROR(Tabla4[[#This Row],[Dif por Unidad]]*Tabla4[[#This Row],[Cantidad]],""))</f>
        <v/>
      </c>
      <c r="M155" s="19" t="str">
        <f t="shared" si="4"/>
        <v/>
      </c>
      <c r="N155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56" spans="5:14" x14ac:dyDescent="0.25">
      <c r="E156" s="12"/>
      <c r="F156" s="12" t="str">
        <f>IF(Tabla4[[#This Row],[Artículo]]="","",IFERROR(_xlfn.XLOOKUP(Tabla4[[#This Row],[Artículo]],Tabla2[Artículo],Tabla2[Precio Unitario ARS],"",0,-1),""))</f>
        <v/>
      </c>
      <c r="G156" s="18" t="str">
        <f>IF(Tabla4[[#This Row],[Artículo]]="","",IFERROR(_xlfn.XLOOKUP(Tabla4[[#This Row],[Artículo]],Tabla2[Artículo],Tabla2[Proveedor],"",0,-1),""))</f>
        <v/>
      </c>
      <c r="H156" s="12" t="str" cm="1">
        <f t="array" ref="H156">IF(Tabla4[[#This Row],[Artículo]]="","",IFERROR(MIN(_xlfn._xlws.FILTER(Tabla2[Precio Unitario ARS],Tabla2[Artículo]=Tabla4[[#This Row],[Artículo]])),""))</f>
        <v/>
      </c>
      <c r="I156" s="12" t="str" cm="1">
        <f t="array" ref="I156">IF(Tabla4[[#This Row],[Artículo]]="","",IFERROR(_xlfn.XLOOKUP(1,(Tabla2[Artículo]=Tabla4[[#This Row],[Artículo]])*(Tabla2[Precio Unitario ARS]=Tabla4[[#This Row],[Mejor Precio]]),Tabla2[Proveedor]),""))</f>
        <v/>
      </c>
      <c r="J156" s="11" t="str">
        <f>IF(Tabla4[[#This Row],[Artículo]]="","",IFERROR((Tabla4[[#This Row],[Precio Cotizado]]-Tabla4[[#This Row],[Últ. Precio]])/Tabla4[[#This Row],[Últ. Precio]],""))</f>
        <v/>
      </c>
      <c r="K156" s="12" t="str">
        <f>IF(Tabla4[[#This Row],[Artículo]]="","",IFERROR(Tabla4[[#This Row],[Precio Cotizado]]-Tabla4[[#This Row],[Mejor Precio]],""))</f>
        <v/>
      </c>
      <c r="L156" s="13" t="str">
        <f>IF(Tabla4[[#This Row],[Artículo]]="","",IFERROR(Tabla4[[#This Row],[Dif por Unidad]]*Tabla4[[#This Row],[Cantidad]],""))</f>
        <v/>
      </c>
      <c r="M156" s="19" t="str">
        <f t="shared" si="4"/>
        <v/>
      </c>
      <c r="N156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57" spans="5:14" x14ac:dyDescent="0.25">
      <c r="E157" s="12"/>
      <c r="F157" s="12" t="str">
        <f>IF(Tabla4[[#This Row],[Artículo]]="","",IFERROR(_xlfn.XLOOKUP(Tabla4[[#This Row],[Artículo]],Tabla2[Artículo],Tabla2[Precio Unitario ARS],"",0,-1),""))</f>
        <v/>
      </c>
      <c r="G157" s="18" t="str">
        <f>IF(Tabla4[[#This Row],[Artículo]]="","",IFERROR(_xlfn.XLOOKUP(Tabla4[[#This Row],[Artículo]],Tabla2[Artículo],Tabla2[Proveedor],"",0,-1),""))</f>
        <v/>
      </c>
      <c r="H157" s="12" t="str" cm="1">
        <f t="array" ref="H157">IF(Tabla4[[#This Row],[Artículo]]="","",IFERROR(MIN(_xlfn._xlws.FILTER(Tabla2[Precio Unitario ARS],Tabla2[Artículo]=Tabla4[[#This Row],[Artículo]])),""))</f>
        <v/>
      </c>
      <c r="I157" s="12" t="str" cm="1">
        <f t="array" ref="I157">IF(Tabla4[[#This Row],[Artículo]]="","",IFERROR(_xlfn.XLOOKUP(1,(Tabla2[Artículo]=Tabla4[[#This Row],[Artículo]])*(Tabla2[Precio Unitario ARS]=Tabla4[[#This Row],[Mejor Precio]]),Tabla2[Proveedor]),""))</f>
        <v/>
      </c>
      <c r="J157" s="11" t="str">
        <f>IF(Tabla4[[#This Row],[Artículo]]="","",IFERROR((Tabla4[[#This Row],[Precio Cotizado]]-Tabla4[[#This Row],[Últ. Precio]])/Tabla4[[#This Row],[Últ. Precio]],""))</f>
        <v/>
      </c>
      <c r="K157" s="12" t="str">
        <f>IF(Tabla4[[#This Row],[Artículo]]="","",IFERROR(Tabla4[[#This Row],[Precio Cotizado]]-Tabla4[[#This Row],[Mejor Precio]],""))</f>
        <v/>
      </c>
      <c r="L157" s="13" t="str">
        <f>IF(Tabla4[[#This Row],[Artículo]]="","",IFERROR(Tabla4[[#This Row],[Dif por Unidad]]*Tabla4[[#This Row],[Cantidad]],""))</f>
        <v/>
      </c>
      <c r="M157" s="19" t="str">
        <f t="shared" si="4"/>
        <v/>
      </c>
      <c r="N157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58" spans="5:14" x14ac:dyDescent="0.25">
      <c r="E158" s="12"/>
      <c r="F158" s="12" t="str">
        <f>IF(Tabla4[[#This Row],[Artículo]]="","",IFERROR(_xlfn.XLOOKUP(Tabla4[[#This Row],[Artículo]],Tabla2[Artículo],Tabla2[Precio Unitario ARS],"",0,-1),""))</f>
        <v/>
      </c>
      <c r="G158" s="18" t="str">
        <f>IF(Tabla4[[#This Row],[Artículo]]="","",IFERROR(_xlfn.XLOOKUP(Tabla4[[#This Row],[Artículo]],Tabla2[Artículo],Tabla2[Proveedor],"",0,-1),""))</f>
        <v/>
      </c>
      <c r="H158" s="12" t="str" cm="1">
        <f t="array" ref="H158">IF(Tabla4[[#This Row],[Artículo]]="","",IFERROR(MIN(_xlfn._xlws.FILTER(Tabla2[Precio Unitario ARS],Tabla2[Artículo]=Tabla4[[#This Row],[Artículo]])),""))</f>
        <v/>
      </c>
      <c r="I158" s="12" t="str" cm="1">
        <f t="array" ref="I158">IF(Tabla4[[#This Row],[Artículo]]="","",IFERROR(_xlfn.XLOOKUP(1,(Tabla2[Artículo]=Tabla4[[#This Row],[Artículo]])*(Tabla2[Precio Unitario ARS]=Tabla4[[#This Row],[Mejor Precio]]),Tabla2[Proveedor]),""))</f>
        <v/>
      </c>
      <c r="J158" s="11" t="str">
        <f>IF(Tabla4[[#This Row],[Artículo]]="","",IFERROR((Tabla4[[#This Row],[Precio Cotizado]]-Tabla4[[#This Row],[Últ. Precio]])/Tabla4[[#This Row],[Últ. Precio]],""))</f>
        <v/>
      </c>
      <c r="K158" s="12" t="str">
        <f>IF(Tabla4[[#This Row],[Artículo]]="","",IFERROR(Tabla4[[#This Row],[Precio Cotizado]]-Tabla4[[#This Row],[Mejor Precio]],""))</f>
        <v/>
      </c>
      <c r="L158" s="13" t="str">
        <f>IF(Tabla4[[#This Row],[Artículo]]="","",IFERROR(Tabla4[[#This Row],[Dif por Unidad]]*Tabla4[[#This Row],[Cantidad]],""))</f>
        <v/>
      </c>
      <c r="M158" s="19" t="str">
        <f t="shared" si="4"/>
        <v/>
      </c>
      <c r="N158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59" spans="5:14" x14ac:dyDescent="0.25">
      <c r="E159" s="12"/>
      <c r="F159" s="12" t="str">
        <f>IF(Tabla4[[#This Row],[Artículo]]="","",IFERROR(_xlfn.XLOOKUP(Tabla4[[#This Row],[Artículo]],Tabla2[Artículo],Tabla2[Precio Unitario ARS],"",0,-1),""))</f>
        <v/>
      </c>
      <c r="G159" s="18" t="str">
        <f>IF(Tabla4[[#This Row],[Artículo]]="","",IFERROR(_xlfn.XLOOKUP(Tabla4[[#This Row],[Artículo]],Tabla2[Artículo],Tabla2[Proveedor],"",0,-1),""))</f>
        <v/>
      </c>
      <c r="H159" s="12" t="str" cm="1">
        <f t="array" ref="H159">IF(Tabla4[[#This Row],[Artículo]]="","",IFERROR(MIN(_xlfn._xlws.FILTER(Tabla2[Precio Unitario ARS],Tabla2[Artículo]=Tabla4[[#This Row],[Artículo]])),""))</f>
        <v/>
      </c>
      <c r="I159" s="12" t="str" cm="1">
        <f t="array" ref="I159">IF(Tabla4[[#This Row],[Artículo]]="","",IFERROR(_xlfn.XLOOKUP(1,(Tabla2[Artículo]=Tabla4[[#This Row],[Artículo]])*(Tabla2[Precio Unitario ARS]=Tabla4[[#This Row],[Mejor Precio]]),Tabla2[Proveedor]),""))</f>
        <v/>
      </c>
      <c r="J159" s="11" t="str">
        <f>IF(Tabla4[[#This Row],[Artículo]]="","",IFERROR((Tabla4[[#This Row],[Precio Cotizado]]-Tabla4[[#This Row],[Últ. Precio]])/Tabla4[[#This Row],[Últ. Precio]],""))</f>
        <v/>
      </c>
      <c r="K159" s="12" t="str">
        <f>IF(Tabla4[[#This Row],[Artículo]]="","",IFERROR(Tabla4[[#This Row],[Precio Cotizado]]-Tabla4[[#This Row],[Mejor Precio]],""))</f>
        <v/>
      </c>
      <c r="L159" s="13" t="str">
        <f>IF(Tabla4[[#This Row],[Artículo]]="","",IFERROR(Tabla4[[#This Row],[Dif por Unidad]]*Tabla4[[#This Row],[Cantidad]],""))</f>
        <v/>
      </c>
      <c r="M159" s="19" t="str">
        <f t="shared" si="4"/>
        <v/>
      </c>
      <c r="N159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60" spans="5:14" x14ac:dyDescent="0.25">
      <c r="E160" s="12"/>
      <c r="F160" s="12" t="str">
        <f>IF(Tabla4[[#This Row],[Artículo]]="","",IFERROR(_xlfn.XLOOKUP(Tabla4[[#This Row],[Artículo]],Tabla2[Artículo],Tabla2[Precio Unitario ARS],"",0,-1),""))</f>
        <v/>
      </c>
      <c r="G160" s="18" t="str">
        <f>IF(Tabla4[[#This Row],[Artículo]]="","",IFERROR(_xlfn.XLOOKUP(Tabla4[[#This Row],[Artículo]],Tabla2[Artículo],Tabla2[Proveedor],"",0,-1),""))</f>
        <v/>
      </c>
      <c r="H160" s="12" t="str" cm="1">
        <f t="array" ref="H160">IF(Tabla4[[#This Row],[Artículo]]="","",IFERROR(MIN(_xlfn._xlws.FILTER(Tabla2[Precio Unitario ARS],Tabla2[Artículo]=Tabla4[[#This Row],[Artículo]])),""))</f>
        <v/>
      </c>
      <c r="I160" s="12" t="str" cm="1">
        <f t="array" ref="I160">IF(Tabla4[[#This Row],[Artículo]]="","",IFERROR(_xlfn.XLOOKUP(1,(Tabla2[Artículo]=Tabla4[[#This Row],[Artículo]])*(Tabla2[Precio Unitario ARS]=Tabla4[[#This Row],[Mejor Precio]]),Tabla2[Proveedor]),""))</f>
        <v/>
      </c>
      <c r="J160" s="11" t="str">
        <f>IF(Tabla4[[#This Row],[Artículo]]="","",IFERROR((Tabla4[[#This Row],[Precio Cotizado]]-Tabla4[[#This Row],[Últ. Precio]])/Tabla4[[#This Row],[Últ. Precio]],""))</f>
        <v/>
      </c>
      <c r="K160" s="12" t="str">
        <f>IF(Tabla4[[#This Row],[Artículo]]="","",IFERROR(Tabla4[[#This Row],[Precio Cotizado]]-Tabla4[[#This Row],[Mejor Precio]],""))</f>
        <v/>
      </c>
      <c r="L160" s="13" t="str">
        <f>IF(Tabla4[[#This Row],[Artículo]]="","",IFERROR(Tabla4[[#This Row],[Dif por Unidad]]*Tabla4[[#This Row],[Cantidad]],""))</f>
        <v/>
      </c>
      <c r="M160" s="19" t="str">
        <f t="shared" si="4"/>
        <v/>
      </c>
      <c r="N160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  <row r="161" spans="5:14" x14ac:dyDescent="0.25">
      <c r="E161" s="12"/>
      <c r="F161" s="12" t="str">
        <f>IF(Tabla4[[#This Row],[Artículo]]="","",IFERROR(_xlfn.XLOOKUP(Tabla4[[#This Row],[Artículo]],Tabla2[Artículo],Tabla2[Precio Unitario ARS],"",0,-1),""))</f>
        <v/>
      </c>
      <c r="G161" s="18" t="str">
        <f>IF(Tabla4[[#This Row],[Artículo]]="","",IFERROR(_xlfn.XLOOKUP(Tabla4[[#This Row],[Artículo]],Tabla2[Artículo],Tabla2[Proveedor],"",0,-1),""))</f>
        <v/>
      </c>
      <c r="H161" s="12" t="str" cm="1">
        <f t="array" ref="H161">IF(Tabla4[[#This Row],[Artículo]]="","",IFERROR(MIN(_xlfn._xlws.FILTER(Tabla2[Precio Unitario ARS],Tabla2[Artículo]=Tabla4[[#This Row],[Artículo]])),""))</f>
        <v/>
      </c>
      <c r="I161" s="12" t="str" cm="1">
        <f t="array" ref="I161">IF(Tabla4[[#This Row],[Artículo]]="","",IFERROR(_xlfn.XLOOKUP(1,(Tabla2[Artículo]=Tabla4[[#This Row],[Artículo]])*(Tabla2[Precio Unitario ARS]=Tabla4[[#This Row],[Mejor Precio]]),Tabla2[Proveedor]),""))</f>
        <v/>
      </c>
      <c r="J161" s="11" t="str">
        <f>IF(Tabla4[[#This Row],[Artículo]]="","",IFERROR((Tabla4[[#This Row],[Precio Cotizado]]-Tabla4[[#This Row],[Últ. Precio]])/Tabla4[[#This Row],[Últ. Precio]],""))</f>
        <v/>
      </c>
      <c r="K161" s="12" t="str">
        <f>IF(Tabla4[[#This Row],[Artículo]]="","",IFERROR(Tabla4[[#This Row],[Precio Cotizado]]-Tabla4[[#This Row],[Mejor Precio]],""))</f>
        <v/>
      </c>
      <c r="L161" s="13" t="str">
        <f>IF(Tabla4[[#This Row],[Artículo]]="","",IFERROR(Tabla4[[#This Row],[Dif por Unidad]]*Tabla4[[#This Row],[Cantidad]],""))</f>
        <v/>
      </c>
      <c r="M161" s="19" t="str">
        <f t="shared" si="4"/>
        <v/>
      </c>
      <c r="N161" s="19" t="str">
        <f>IF(Tabla4[[#This Row],[Artículo]]="","",IF(Tabla4[[#This Row],[Estado]]="Más barato","✓ Conviene comprar. Ahorro respecto al mejor precio.",IF(Tabla4[[#This Row],[Estado]]="Dentro del rango","✓ Precio dentro del rango habitual.",IF(Tabla4[[#This Row],[Estado]]="Revisar","⚠ Solicitar otra cotización.","🚨 Precio elevado. Negociar o buscar alternativa."))))</f>
        <v/>
      </c>
    </row>
  </sheetData>
  <conditionalFormatting sqref="E2:E36">
    <cfRule type="cellIs" dxfId="0" priority="1" operator="greaterThan">
      <formula>F2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D7343AF-CCA5-402D-935E-EA0E0FE78200}">
          <x14:formula1>
            <xm:f>Hoja1!$C$1:$C$462</xm:f>
          </x14:formula1>
          <xm:sqref>B6:B161</xm:sqref>
        </x14:dataValidation>
        <x14:dataValidation type="list" allowBlank="1" showInputMessage="1" showErrorMessage="1" xr:uid="{17C95810-9D17-4EC1-A544-C6A84EA5B4A2}">
          <x14:formula1>
            <xm:f>Hoja1!$C:$C</xm:f>
          </x14:formula1>
          <xm:sqref>B2:B5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CA1C-88A6-4466-9EB8-9ADEF10C90A8}">
  <dimension ref="A1:C64"/>
  <sheetViews>
    <sheetView topLeftCell="A49" workbookViewId="0">
      <selection activeCell="B65" sqref="B65"/>
    </sheetView>
  </sheetViews>
  <sheetFormatPr baseColWidth="10" defaultRowHeight="15" x14ac:dyDescent="0.25"/>
  <cols>
    <col min="1" max="1" width="18.140625" bestFit="1" customWidth="1"/>
    <col min="2" max="2" width="12.7109375" style="3" bestFit="1" customWidth="1"/>
    <col min="3" max="3" width="10.7109375" style="3" bestFit="1" customWidth="1"/>
  </cols>
  <sheetData>
    <row r="1" spans="1:3" x14ac:dyDescent="0.25">
      <c r="A1" t="s">
        <v>13</v>
      </c>
      <c r="B1" s="3" t="s">
        <v>14</v>
      </c>
      <c r="C1" s="3" t="s">
        <v>15</v>
      </c>
    </row>
    <row r="2" spans="1:3" x14ac:dyDescent="0.25">
      <c r="A2" s="14">
        <v>46146</v>
      </c>
      <c r="B2" s="3">
        <v>1375</v>
      </c>
      <c r="C2" s="3">
        <v>1425</v>
      </c>
    </row>
    <row r="3" spans="1:3" x14ac:dyDescent="0.25">
      <c r="A3" s="14">
        <v>46147</v>
      </c>
      <c r="B3" s="3">
        <v>1365</v>
      </c>
      <c r="C3" s="3">
        <v>1415</v>
      </c>
    </row>
    <row r="4" spans="1:3" x14ac:dyDescent="0.25">
      <c r="A4" s="14">
        <v>46148</v>
      </c>
      <c r="B4" s="3">
        <v>1360</v>
      </c>
      <c r="C4" s="3">
        <v>1410</v>
      </c>
    </row>
    <row r="5" spans="1:3" x14ac:dyDescent="0.25">
      <c r="A5" s="14">
        <v>46149</v>
      </c>
      <c r="B5" s="3">
        <v>1370</v>
      </c>
      <c r="C5" s="3">
        <v>1420</v>
      </c>
    </row>
    <row r="6" spans="1:3" x14ac:dyDescent="0.25">
      <c r="A6" s="14">
        <v>46150</v>
      </c>
      <c r="B6" s="3">
        <v>1370</v>
      </c>
      <c r="C6" s="3">
        <v>1420</v>
      </c>
    </row>
    <row r="7" spans="1:3" x14ac:dyDescent="0.25">
      <c r="A7" s="14">
        <v>46153</v>
      </c>
      <c r="B7" s="3">
        <v>1365</v>
      </c>
      <c r="C7" s="3">
        <v>1415</v>
      </c>
    </row>
    <row r="8" spans="1:3" x14ac:dyDescent="0.25">
      <c r="A8" s="14">
        <v>46154</v>
      </c>
      <c r="B8" s="3">
        <v>1355</v>
      </c>
      <c r="C8" s="3">
        <v>1405</v>
      </c>
    </row>
    <row r="9" spans="1:3" x14ac:dyDescent="0.25">
      <c r="A9" s="14">
        <v>46155</v>
      </c>
      <c r="B9" s="3">
        <v>1365</v>
      </c>
      <c r="C9" s="3">
        <v>1415</v>
      </c>
    </row>
    <row r="10" spans="1:3" x14ac:dyDescent="0.25">
      <c r="A10" s="14">
        <v>46156</v>
      </c>
      <c r="B10" s="3">
        <v>1365</v>
      </c>
      <c r="C10" s="3">
        <v>1415</v>
      </c>
    </row>
    <row r="11" spans="1:3" x14ac:dyDescent="0.25">
      <c r="A11" s="14">
        <v>46157</v>
      </c>
      <c r="B11" s="3">
        <v>1370</v>
      </c>
      <c r="C11" s="3">
        <v>1420</v>
      </c>
    </row>
    <row r="12" spans="1:3" x14ac:dyDescent="0.25">
      <c r="A12" s="14">
        <v>46160</v>
      </c>
      <c r="B12" s="3">
        <v>1370</v>
      </c>
      <c r="C12" s="3">
        <v>1420</v>
      </c>
    </row>
    <row r="13" spans="1:3" x14ac:dyDescent="0.25">
      <c r="A13" s="14">
        <v>46161</v>
      </c>
      <c r="B13" s="3">
        <v>1370</v>
      </c>
      <c r="C13" s="3">
        <v>1420</v>
      </c>
    </row>
    <row r="14" spans="1:3" x14ac:dyDescent="0.25">
      <c r="A14" s="14">
        <v>46162</v>
      </c>
      <c r="B14" s="3">
        <v>1370</v>
      </c>
      <c r="C14" s="3">
        <v>1420</v>
      </c>
    </row>
    <row r="15" spans="1:3" x14ac:dyDescent="0.25">
      <c r="A15" s="14">
        <v>46163</v>
      </c>
      <c r="B15" s="3">
        <v>1360</v>
      </c>
      <c r="C15" s="3">
        <v>1410</v>
      </c>
    </row>
    <row r="16" spans="1:3" x14ac:dyDescent="0.25">
      <c r="A16" s="14">
        <v>46164</v>
      </c>
      <c r="B16" s="3">
        <v>1375</v>
      </c>
      <c r="C16" s="3">
        <v>1425</v>
      </c>
    </row>
    <row r="17" spans="1:3" x14ac:dyDescent="0.25">
      <c r="A17" s="14">
        <v>46168</v>
      </c>
      <c r="B17" s="3">
        <v>1380</v>
      </c>
      <c r="C17" s="3">
        <v>1430</v>
      </c>
    </row>
    <row r="18" spans="1:3" x14ac:dyDescent="0.25">
      <c r="A18" s="14">
        <v>46169</v>
      </c>
      <c r="B18" s="3">
        <v>1380</v>
      </c>
      <c r="C18" s="3">
        <v>1430</v>
      </c>
    </row>
    <row r="19" spans="1:3" x14ac:dyDescent="0.25">
      <c r="A19" s="14">
        <v>46170</v>
      </c>
      <c r="B19" s="3">
        <v>1380</v>
      </c>
      <c r="C19" s="3">
        <v>1430</v>
      </c>
    </row>
    <row r="20" spans="1:3" x14ac:dyDescent="0.25">
      <c r="A20" s="14">
        <v>46171</v>
      </c>
      <c r="B20" s="3">
        <v>1380</v>
      </c>
      <c r="C20" s="3">
        <v>1430</v>
      </c>
    </row>
    <row r="21" spans="1:3" x14ac:dyDescent="0.25">
      <c r="A21" s="14">
        <v>46174</v>
      </c>
      <c r="B21" s="3">
        <v>1395</v>
      </c>
      <c r="C21" s="3">
        <v>1445</v>
      </c>
    </row>
    <row r="22" spans="1:3" x14ac:dyDescent="0.25">
      <c r="A22" s="14">
        <v>46175</v>
      </c>
      <c r="B22" s="3">
        <v>1400</v>
      </c>
      <c r="C22" s="3">
        <v>1450</v>
      </c>
    </row>
    <row r="23" spans="1:3" x14ac:dyDescent="0.25">
      <c r="A23" s="14">
        <v>46176</v>
      </c>
      <c r="B23" s="3">
        <v>1410</v>
      </c>
      <c r="C23" s="3">
        <v>1460</v>
      </c>
    </row>
    <row r="24" spans="1:3" x14ac:dyDescent="0.25">
      <c r="A24" s="14">
        <v>46177</v>
      </c>
      <c r="B24" s="3">
        <v>1405</v>
      </c>
      <c r="C24" s="3">
        <v>1455</v>
      </c>
    </row>
    <row r="25" spans="1:3" x14ac:dyDescent="0.25">
      <c r="A25" s="14">
        <v>46178</v>
      </c>
      <c r="B25" s="3">
        <v>1410</v>
      </c>
      <c r="C25" s="3">
        <v>1460</v>
      </c>
    </row>
    <row r="26" spans="1:3" x14ac:dyDescent="0.25">
      <c r="A26" s="14">
        <v>46181</v>
      </c>
      <c r="B26" s="3">
        <v>1415</v>
      </c>
      <c r="C26" s="3">
        <v>1465</v>
      </c>
    </row>
    <row r="27" spans="1:3" x14ac:dyDescent="0.25">
      <c r="A27" s="14">
        <v>46182</v>
      </c>
      <c r="B27" s="3">
        <v>1410</v>
      </c>
      <c r="C27" s="3">
        <v>1460</v>
      </c>
    </row>
    <row r="28" spans="1:3" x14ac:dyDescent="0.25">
      <c r="A28" s="14">
        <v>46183</v>
      </c>
      <c r="B28" s="3">
        <v>1405</v>
      </c>
      <c r="C28" s="3">
        <v>1455</v>
      </c>
    </row>
    <row r="29" spans="1:3" x14ac:dyDescent="0.25">
      <c r="A29" s="14">
        <v>46184</v>
      </c>
      <c r="B29" s="3">
        <v>1400</v>
      </c>
      <c r="C29" s="3">
        <v>1450</v>
      </c>
    </row>
    <row r="30" spans="1:3" x14ac:dyDescent="0.25">
      <c r="A30" s="14">
        <v>46185</v>
      </c>
      <c r="B30" s="3">
        <v>1400</v>
      </c>
      <c r="C30" s="3">
        <v>1450</v>
      </c>
    </row>
    <row r="31" spans="1:3" x14ac:dyDescent="0.25">
      <c r="A31" s="14">
        <v>46189</v>
      </c>
      <c r="B31" s="3">
        <v>1405</v>
      </c>
      <c r="C31" s="3">
        <v>1455</v>
      </c>
    </row>
    <row r="32" spans="1:3" x14ac:dyDescent="0.25">
      <c r="A32" s="14">
        <v>46190</v>
      </c>
      <c r="B32" s="3">
        <v>1410</v>
      </c>
      <c r="C32" s="3">
        <v>1460</v>
      </c>
    </row>
    <row r="33" spans="1:3" x14ac:dyDescent="0.25">
      <c r="A33" s="14">
        <v>46191</v>
      </c>
      <c r="B33" s="3">
        <v>1420</v>
      </c>
      <c r="C33" s="3">
        <v>1470</v>
      </c>
    </row>
    <row r="34" spans="1:3" x14ac:dyDescent="0.25">
      <c r="A34" s="14">
        <v>46192</v>
      </c>
      <c r="B34" s="3">
        <v>1430</v>
      </c>
      <c r="C34" s="3">
        <v>1480</v>
      </c>
    </row>
    <row r="35" spans="1:3" x14ac:dyDescent="0.25">
      <c r="A35" s="14">
        <v>46195</v>
      </c>
      <c r="B35" s="3">
        <v>1430</v>
      </c>
      <c r="C35" s="3">
        <v>1480</v>
      </c>
    </row>
    <row r="36" spans="1:3" x14ac:dyDescent="0.25">
      <c r="A36" s="14">
        <v>46196</v>
      </c>
      <c r="B36" s="3">
        <v>1440</v>
      </c>
      <c r="C36" s="3">
        <v>1490</v>
      </c>
    </row>
    <row r="37" spans="1:3" x14ac:dyDescent="0.25">
      <c r="A37" s="14">
        <v>46197</v>
      </c>
      <c r="B37" s="3">
        <v>1445</v>
      </c>
      <c r="C37" s="3">
        <v>1495</v>
      </c>
    </row>
    <row r="38" spans="1:3" x14ac:dyDescent="0.25">
      <c r="A38" s="14">
        <v>46198</v>
      </c>
      <c r="B38" s="3">
        <v>1445</v>
      </c>
      <c r="C38" s="3">
        <v>1495</v>
      </c>
    </row>
    <row r="39" spans="1:3" x14ac:dyDescent="0.25">
      <c r="A39" s="14">
        <v>46199</v>
      </c>
      <c r="B39" s="3">
        <v>1445</v>
      </c>
      <c r="C39" s="3">
        <v>1495</v>
      </c>
    </row>
    <row r="40" spans="1:3" x14ac:dyDescent="0.25">
      <c r="A40" s="14">
        <v>46202</v>
      </c>
      <c r="B40" s="3">
        <v>1445</v>
      </c>
      <c r="C40" s="3">
        <v>1495</v>
      </c>
    </row>
    <row r="41" spans="1:3" x14ac:dyDescent="0.25">
      <c r="A41" s="14">
        <v>46203</v>
      </c>
      <c r="B41" s="3">
        <v>1450</v>
      </c>
      <c r="C41" s="3">
        <v>1500</v>
      </c>
    </row>
    <row r="42" spans="1:3" x14ac:dyDescent="0.25">
      <c r="A42" s="14">
        <v>46204</v>
      </c>
      <c r="B42" s="3">
        <v>1460</v>
      </c>
      <c r="C42" s="3">
        <v>1510</v>
      </c>
    </row>
    <row r="43" spans="1:3" x14ac:dyDescent="0.25">
      <c r="A43" s="14">
        <v>46205</v>
      </c>
      <c r="B43" s="3">
        <v>1460</v>
      </c>
      <c r="C43" s="3">
        <v>1510</v>
      </c>
    </row>
    <row r="44" spans="1:3" x14ac:dyDescent="0.25">
      <c r="A44" s="14">
        <v>46206</v>
      </c>
      <c r="B44" s="3">
        <v>1460</v>
      </c>
      <c r="C44" s="3">
        <v>1510</v>
      </c>
    </row>
    <row r="45" spans="1:3" x14ac:dyDescent="0.25">
      <c r="A45" s="14">
        <v>46209</v>
      </c>
      <c r="B45" s="3">
        <v>1460</v>
      </c>
      <c r="C45" s="3">
        <v>1510</v>
      </c>
    </row>
    <row r="46" spans="1:3" x14ac:dyDescent="0.25">
      <c r="A46" s="14">
        <v>46210</v>
      </c>
      <c r="B46" s="3">
        <v>1465</v>
      </c>
      <c r="C46" s="3">
        <v>1515</v>
      </c>
    </row>
    <row r="47" spans="1:3" x14ac:dyDescent="0.25">
      <c r="A47" s="14">
        <v>46211</v>
      </c>
      <c r="B47" s="3">
        <v>1460</v>
      </c>
      <c r="C47" s="3">
        <v>1510</v>
      </c>
    </row>
    <row r="48" spans="1:3" x14ac:dyDescent="0.25">
      <c r="A48" s="14">
        <v>46212</v>
      </c>
      <c r="B48" s="3">
        <v>1460</v>
      </c>
      <c r="C48" s="3">
        <v>1510</v>
      </c>
    </row>
    <row r="49" spans="1:3" x14ac:dyDescent="0.25">
      <c r="A49" s="14">
        <v>46213</v>
      </c>
      <c r="B49" s="3">
        <v>1460</v>
      </c>
      <c r="C49" s="3">
        <v>1510</v>
      </c>
    </row>
    <row r="50" spans="1:3" x14ac:dyDescent="0.25">
      <c r="A50" s="14">
        <v>46216</v>
      </c>
      <c r="B50" s="3">
        <v>1455</v>
      </c>
      <c r="C50" s="3">
        <v>1505</v>
      </c>
    </row>
    <row r="51" spans="1:3" x14ac:dyDescent="0.25">
      <c r="A51" s="14">
        <v>46217</v>
      </c>
      <c r="B51" s="3">
        <v>1445</v>
      </c>
      <c r="C51" s="3">
        <v>1495</v>
      </c>
    </row>
    <row r="52" spans="1:3" x14ac:dyDescent="0.25">
      <c r="A52" s="14">
        <v>46218</v>
      </c>
      <c r="B52" s="3">
        <v>1445</v>
      </c>
      <c r="C52" s="3">
        <v>1495</v>
      </c>
    </row>
    <row r="53" spans="1:3" x14ac:dyDescent="0.25">
      <c r="A53" s="14">
        <v>46219</v>
      </c>
      <c r="B53" s="3">
        <v>1445</v>
      </c>
      <c r="C53" s="3">
        <v>1495</v>
      </c>
    </row>
    <row r="54" spans="1:3" x14ac:dyDescent="0.25">
      <c r="A54" s="14">
        <v>46220</v>
      </c>
      <c r="B54" s="3">
        <v>1450</v>
      </c>
      <c r="C54" s="3">
        <v>1500</v>
      </c>
    </row>
    <row r="55" spans="1:3" x14ac:dyDescent="0.25">
      <c r="A55" s="14">
        <v>46223</v>
      </c>
      <c r="B55" s="3">
        <v>1450</v>
      </c>
      <c r="C55" s="3">
        <v>1500</v>
      </c>
    </row>
    <row r="56" spans="1:3" x14ac:dyDescent="0.25">
      <c r="A56" s="14">
        <v>46224</v>
      </c>
      <c r="B56" s="3">
        <v>1450</v>
      </c>
      <c r="C56" s="3">
        <v>1500</v>
      </c>
    </row>
    <row r="57" spans="1:3" x14ac:dyDescent="0.25">
      <c r="A57" s="14">
        <v>46225</v>
      </c>
      <c r="B57" s="3">
        <v>1455</v>
      </c>
      <c r="C57" s="3">
        <v>1505</v>
      </c>
    </row>
    <row r="58" spans="1:3" x14ac:dyDescent="0.25">
      <c r="A58" s="14">
        <v>46226</v>
      </c>
      <c r="B58" s="3">
        <v>1460</v>
      </c>
      <c r="C58" s="3">
        <v>1510</v>
      </c>
    </row>
    <row r="59" spans="1:3" x14ac:dyDescent="0.25">
      <c r="A59" s="14">
        <v>46227</v>
      </c>
      <c r="B59" s="3">
        <v>1465</v>
      </c>
      <c r="C59" s="3">
        <v>1515</v>
      </c>
    </row>
    <row r="60" spans="1:3" x14ac:dyDescent="0.25">
      <c r="A60" s="14">
        <v>46230</v>
      </c>
      <c r="B60" s="3">
        <v>1470</v>
      </c>
      <c r="C60" s="3">
        <v>1520</v>
      </c>
    </row>
    <row r="61" spans="1:3" x14ac:dyDescent="0.25">
      <c r="A61" s="14">
        <v>46231</v>
      </c>
      <c r="B61" s="3">
        <v>1470</v>
      </c>
      <c r="C61" s="3">
        <v>1520</v>
      </c>
    </row>
    <row r="62" spans="1:3" x14ac:dyDescent="0.25">
      <c r="A62" s="14">
        <v>46232</v>
      </c>
      <c r="B62" s="3">
        <v>1470</v>
      </c>
      <c r="C62" s="3">
        <v>1520</v>
      </c>
    </row>
    <row r="63" spans="1:3" x14ac:dyDescent="0.25">
      <c r="A63" s="14">
        <v>46233</v>
      </c>
      <c r="B63" s="3">
        <v>1460</v>
      </c>
      <c r="C63" s="3">
        <v>1510</v>
      </c>
    </row>
    <row r="64" spans="1:3" x14ac:dyDescent="0.25">
      <c r="A64" s="14">
        <v>46234</v>
      </c>
      <c r="B64" s="3">
        <v>1460</v>
      </c>
      <c r="C64" s="3">
        <v>1510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674C7-A752-46CC-86B3-4F9222E26357}">
  <dimension ref="A1:J123"/>
  <sheetViews>
    <sheetView workbookViewId="0">
      <selection activeCell="D5" sqref="C4:D5"/>
    </sheetView>
  </sheetViews>
  <sheetFormatPr baseColWidth="10" defaultRowHeight="15" x14ac:dyDescent="0.25"/>
  <cols>
    <col min="1" max="1" width="33.140625" bestFit="1" customWidth="1"/>
    <col min="2" max="2" width="20.85546875" bestFit="1" customWidth="1"/>
    <col min="3" max="4" width="20.85546875" customWidth="1"/>
    <col min="6" max="6" width="21" bestFit="1" customWidth="1"/>
    <col min="7" max="7" width="20.85546875" bestFit="1" customWidth="1"/>
    <col min="9" max="9" width="17.85546875" bestFit="1" customWidth="1"/>
    <col min="10" max="10" width="20.85546875" bestFit="1" customWidth="1"/>
  </cols>
  <sheetData>
    <row r="1" spans="1:10" x14ac:dyDescent="0.25">
      <c r="A1" s="9" t="s">
        <v>182</v>
      </c>
      <c r="B1" t="s">
        <v>177</v>
      </c>
      <c r="F1" s="9" t="s">
        <v>182</v>
      </c>
      <c r="G1" t="s">
        <v>177</v>
      </c>
      <c r="I1" s="9" t="s">
        <v>182</v>
      </c>
      <c r="J1" t="s">
        <v>177</v>
      </c>
    </row>
    <row r="2" spans="1:10" x14ac:dyDescent="0.25">
      <c r="A2" s="9" t="s">
        <v>0</v>
      </c>
      <c r="B2" t="s">
        <v>177</v>
      </c>
      <c r="F2" s="9" t="s">
        <v>0</v>
      </c>
      <c r="G2" t="s">
        <v>177</v>
      </c>
      <c r="I2" s="9" t="s">
        <v>0</v>
      </c>
      <c r="J2" t="s">
        <v>177</v>
      </c>
    </row>
    <row r="4" spans="1:10" x14ac:dyDescent="0.25">
      <c r="A4" s="9" t="s">
        <v>178</v>
      </c>
      <c r="B4" t="s">
        <v>180</v>
      </c>
      <c r="F4" s="9" t="s">
        <v>178</v>
      </c>
      <c r="G4" t="s">
        <v>180</v>
      </c>
      <c r="I4" s="9" t="s">
        <v>178</v>
      </c>
      <c r="J4" t="s">
        <v>180</v>
      </c>
    </row>
    <row r="5" spans="1:10" x14ac:dyDescent="0.25">
      <c r="A5" s="10" t="s">
        <v>234</v>
      </c>
      <c r="B5" s="15">
        <v>9722624.2799999993</v>
      </c>
      <c r="C5" s="15"/>
      <c r="D5" s="15"/>
      <c r="F5" s="10" t="s">
        <v>149</v>
      </c>
      <c r="G5" s="15">
        <v>16388855</v>
      </c>
      <c r="I5" s="10" t="s">
        <v>264</v>
      </c>
      <c r="J5" s="15">
        <v>39970529.737903208</v>
      </c>
    </row>
    <row r="6" spans="1:10" x14ac:dyDescent="0.25">
      <c r="A6" s="10" t="s">
        <v>148</v>
      </c>
      <c r="B6" s="15">
        <v>8162282.8026104011</v>
      </c>
      <c r="C6" s="15"/>
      <c r="D6" s="15"/>
      <c r="F6" s="10" t="s">
        <v>155</v>
      </c>
      <c r="G6" s="15">
        <v>12120500</v>
      </c>
      <c r="I6" s="10" t="s">
        <v>262</v>
      </c>
      <c r="J6" s="15">
        <v>17507081.91</v>
      </c>
    </row>
    <row r="7" spans="1:10" x14ac:dyDescent="0.25">
      <c r="A7" s="10" t="s">
        <v>153</v>
      </c>
      <c r="B7" s="15">
        <v>6207200</v>
      </c>
      <c r="C7" s="15"/>
      <c r="D7" s="15"/>
      <c r="F7" s="10" t="s">
        <v>235</v>
      </c>
      <c r="G7" s="15">
        <v>9722624.2799999993</v>
      </c>
      <c r="I7" s="10" t="s">
        <v>255</v>
      </c>
      <c r="J7" s="15">
        <v>16383134.664230496</v>
      </c>
    </row>
    <row r="8" spans="1:10" x14ac:dyDescent="0.25">
      <c r="A8" s="10" t="s">
        <v>89</v>
      </c>
      <c r="B8" s="15">
        <v>6039138</v>
      </c>
      <c r="C8" s="15"/>
      <c r="D8" s="15"/>
      <c r="F8" s="10" t="s">
        <v>166</v>
      </c>
      <c r="G8" s="15">
        <v>7512488.4879032001</v>
      </c>
      <c r="I8" s="10" t="s">
        <v>256</v>
      </c>
      <c r="J8" s="15">
        <v>2810216.25</v>
      </c>
    </row>
    <row r="9" spans="1:10" x14ac:dyDescent="0.25">
      <c r="A9" s="10" t="s">
        <v>147</v>
      </c>
      <c r="B9" s="15">
        <v>5873700</v>
      </c>
      <c r="C9" s="15"/>
      <c r="D9" s="15"/>
      <c r="F9" s="10" t="s">
        <v>124</v>
      </c>
      <c r="G9" s="15">
        <v>6655217.5199999996</v>
      </c>
      <c r="I9" s="10" t="s">
        <v>265</v>
      </c>
      <c r="J9" s="15">
        <v>2805600</v>
      </c>
    </row>
    <row r="10" spans="1:10" x14ac:dyDescent="0.25">
      <c r="A10" s="10" t="s">
        <v>152</v>
      </c>
      <c r="B10" s="15">
        <v>4301100</v>
      </c>
      <c r="C10" s="15"/>
      <c r="D10" s="15"/>
      <c r="F10" s="10" t="s">
        <v>232</v>
      </c>
      <c r="G10" s="15">
        <v>5871448.4300000006</v>
      </c>
      <c r="I10" s="10" t="s">
        <v>261</v>
      </c>
      <c r="J10" s="15">
        <v>1612406.81</v>
      </c>
    </row>
    <row r="11" spans="1:10" x14ac:dyDescent="0.25">
      <c r="A11" s="10" t="s">
        <v>154</v>
      </c>
      <c r="B11" s="15">
        <v>3986760</v>
      </c>
      <c r="C11" s="15"/>
      <c r="D11" s="15"/>
      <c r="F11" s="10" t="s">
        <v>24</v>
      </c>
      <c r="G11" s="15">
        <v>3462996.2842305</v>
      </c>
      <c r="I11" s="10" t="s">
        <v>263</v>
      </c>
      <c r="J11" s="15">
        <v>1154168.6800000002</v>
      </c>
    </row>
    <row r="12" spans="1:10" x14ac:dyDescent="0.25">
      <c r="A12" s="10" t="s">
        <v>143</v>
      </c>
      <c r="B12" s="15">
        <v>3531600</v>
      </c>
      <c r="C12" s="15"/>
      <c r="D12" s="15"/>
      <c r="F12" s="10" t="s">
        <v>175</v>
      </c>
      <c r="G12" s="15">
        <v>2805600</v>
      </c>
      <c r="I12" s="10" t="s">
        <v>257</v>
      </c>
      <c r="J12" s="15">
        <v>947354.42070000002</v>
      </c>
    </row>
    <row r="13" spans="1:10" x14ac:dyDescent="0.25">
      <c r="A13" s="10" t="s">
        <v>231</v>
      </c>
      <c r="B13" s="15">
        <v>2390018.2799999998</v>
      </c>
      <c r="C13" s="15"/>
      <c r="D13" s="15"/>
      <c r="F13" s="10" t="s">
        <v>121</v>
      </c>
      <c r="G13" s="15">
        <v>2760000</v>
      </c>
      <c r="I13" s="10" t="s">
        <v>266</v>
      </c>
      <c r="J13" s="15">
        <v>455487.12000000005</v>
      </c>
    </row>
    <row r="14" spans="1:10" x14ac:dyDescent="0.25">
      <c r="A14" s="10" t="s">
        <v>105</v>
      </c>
      <c r="B14" s="15">
        <v>1896995.8155600003</v>
      </c>
      <c r="C14" s="15"/>
      <c r="D14" s="15"/>
      <c r="F14" s="10" t="s">
        <v>16</v>
      </c>
      <c r="G14" s="15">
        <v>1942282.92</v>
      </c>
      <c r="I14" s="10" t="s">
        <v>259</v>
      </c>
      <c r="J14" s="15">
        <v>93240</v>
      </c>
    </row>
    <row r="15" spans="1:10" x14ac:dyDescent="0.25">
      <c r="A15" s="10" t="s">
        <v>229</v>
      </c>
      <c r="B15" s="15">
        <v>1754146.7</v>
      </c>
      <c r="C15" s="15"/>
      <c r="D15" s="15"/>
      <c r="F15" s="10" t="s">
        <v>311</v>
      </c>
      <c r="G15" s="15">
        <v>1574126.25</v>
      </c>
      <c r="I15" s="10" t="s">
        <v>258</v>
      </c>
      <c r="J15" s="15">
        <v>21309.08</v>
      </c>
    </row>
    <row r="16" spans="1:10" x14ac:dyDescent="0.25">
      <c r="A16" s="10" t="s">
        <v>230</v>
      </c>
      <c r="B16" s="15">
        <v>1727283.45</v>
      </c>
      <c r="C16" s="15"/>
      <c r="D16" s="15"/>
      <c r="F16" s="10" t="s">
        <v>22</v>
      </c>
      <c r="G16" s="15">
        <v>1148783.51</v>
      </c>
      <c r="I16" s="10" t="s">
        <v>327</v>
      </c>
      <c r="J16" s="15">
        <v>12596.18</v>
      </c>
    </row>
    <row r="17" spans="1:10" x14ac:dyDescent="0.25">
      <c r="A17" s="10" t="s">
        <v>54</v>
      </c>
      <c r="B17" s="15">
        <v>1654270.5</v>
      </c>
      <c r="C17" s="15"/>
      <c r="D17" s="15"/>
      <c r="F17" s="10" t="s">
        <v>110</v>
      </c>
      <c r="G17" s="15">
        <v>1086115.56</v>
      </c>
      <c r="I17" s="10">
        <v>0</v>
      </c>
      <c r="J17" s="15">
        <v>0</v>
      </c>
    </row>
    <row r="18" spans="1:10" x14ac:dyDescent="0.25">
      <c r="A18" s="10" t="s">
        <v>253</v>
      </c>
      <c r="B18" s="15">
        <v>1612650</v>
      </c>
      <c r="C18" s="15"/>
      <c r="D18" s="15"/>
      <c r="F18" s="10" t="s">
        <v>123</v>
      </c>
      <c r="G18" s="15">
        <v>1045009.2</v>
      </c>
      <c r="I18" s="10" t="s">
        <v>239</v>
      </c>
      <c r="J18" s="15"/>
    </row>
    <row r="19" spans="1:10" x14ac:dyDescent="0.25">
      <c r="A19" s="10" t="s">
        <v>93</v>
      </c>
      <c r="B19" s="15">
        <v>1255000</v>
      </c>
      <c r="C19" s="15"/>
      <c r="D19" s="15"/>
      <c r="F19" s="10" t="s">
        <v>226</v>
      </c>
      <c r="G19" s="15">
        <v>868000</v>
      </c>
      <c r="I19" s="10" t="s">
        <v>179</v>
      </c>
      <c r="J19" s="15">
        <v>83773124.852833703</v>
      </c>
    </row>
    <row r="20" spans="1:10" x14ac:dyDescent="0.25">
      <c r="A20" s="10" t="s">
        <v>223</v>
      </c>
      <c r="B20" s="15">
        <v>1116000</v>
      </c>
      <c r="C20" s="15"/>
      <c r="D20" s="15"/>
      <c r="F20" s="10" t="s">
        <v>130</v>
      </c>
      <c r="G20" s="15">
        <v>765000</v>
      </c>
    </row>
    <row r="21" spans="1:10" x14ac:dyDescent="0.25">
      <c r="A21" s="10" t="s">
        <v>84</v>
      </c>
      <c r="B21" s="15">
        <v>1045009.2</v>
      </c>
      <c r="C21" s="15"/>
      <c r="D21" s="15"/>
      <c r="F21" s="10" t="s">
        <v>214</v>
      </c>
      <c r="G21" s="15">
        <v>711668.68</v>
      </c>
    </row>
    <row r="22" spans="1:10" x14ac:dyDescent="0.25">
      <c r="A22" s="10" t="s">
        <v>165</v>
      </c>
      <c r="B22" s="15">
        <v>1014205.6852928001</v>
      </c>
      <c r="C22" s="15"/>
      <c r="D22" s="15"/>
      <c r="F22" s="10" t="s">
        <v>118</v>
      </c>
      <c r="G22" s="15">
        <v>680800</v>
      </c>
    </row>
    <row r="23" spans="1:10" x14ac:dyDescent="0.25">
      <c r="A23" s="10" t="s">
        <v>100</v>
      </c>
      <c r="B23" s="15">
        <v>885380</v>
      </c>
      <c r="C23" s="15"/>
      <c r="D23" s="15"/>
      <c r="F23" s="10" t="s">
        <v>127</v>
      </c>
      <c r="G23" s="15">
        <v>512000</v>
      </c>
    </row>
    <row r="24" spans="1:10" x14ac:dyDescent="0.25">
      <c r="A24" s="10" t="s">
        <v>35</v>
      </c>
      <c r="B24" s="15">
        <v>870247.8</v>
      </c>
      <c r="C24" s="15"/>
      <c r="D24" s="15"/>
      <c r="F24" s="10" t="s">
        <v>167</v>
      </c>
      <c r="G24" s="15">
        <v>442500</v>
      </c>
    </row>
    <row r="25" spans="1:10" x14ac:dyDescent="0.25">
      <c r="A25" s="10" t="s">
        <v>225</v>
      </c>
      <c r="B25" s="15">
        <v>868000</v>
      </c>
      <c r="C25" s="15"/>
      <c r="D25" s="15"/>
      <c r="F25" s="10" t="s">
        <v>128</v>
      </c>
      <c r="G25" s="15">
        <v>373380</v>
      </c>
    </row>
    <row r="26" spans="1:10" x14ac:dyDescent="0.25">
      <c r="A26" s="10" t="s">
        <v>94</v>
      </c>
      <c r="B26" s="15">
        <v>865000</v>
      </c>
      <c r="C26" s="15"/>
      <c r="D26" s="15"/>
      <c r="F26" s="10" t="s">
        <v>125</v>
      </c>
      <c r="G26" s="15">
        <v>372643.7</v>
      </c>
    </row>
    <row r="27" spans="1:10" x14ac:dyDescent="0.25">
      <c r="A27" s="10" t="s">
        <v>106</v>
      </c>
      <c r="B27" s="15">
        <v>806373.81648000004</v>
      </c>
      <c r="C27" s="15"/>
      <c r="D27" s="15"/>
      <c r="F27" s="10" t="s">
        <v>126</v>
      </c>
      <c r="G27" s="15">
        <v>320568.59999999998</v>
      </c>
    </row>
    <row r="28" spans="1:10" x14ac:dyDescent="0.25">
      <c r="A28" s="10" t="s">
        <v>288</v>
      </c>
      <c r="B28" s="15">
        <v>787668.74999999988</v>
      </c>
      <c r="C28" s="15"/>
      <c r="D28" s="15"/>
      <c r="F28" s="10" t="s">
        <v>160</v>
      </c>
      <c r="G28" s="15">
        <v>319837</v>
      </c>
    </row>
    <row r="29" spans="1:10" x14ac:dyDescent="0.25">
      <c r="A29" s="10" t="s">
        <v>103</v>
      </c>
      <c r="B29" s="15">
        <v>765000</v>
      </c>
      <c r="C29" s="15"/>
      <c r="D29" s="15"/>
      <c r="F29" s="10" t="s">
        <v>131</v>
      </c>
      <c r="G29" s="15">
        <v>260000</v>
      </c>
    </row>
    <row r="30" spans="1:10" x14ac:dyDescent="0.25">
      <c r="A30" s="10" t="s">
        <v>97</v>
      </c>
      <c r="B30" s="15">
        <v>754093.78</v>
      </c>
      <c r="C30" s="15"/>
      <c r="D30" s="15"/>
      <c r="F30" s="10" t="s">
        <v>135</v>
      </c>
      <c r="G30" s="15">
        <v>251480</v>
      </c>
    </row>
    <row r="31" spans="1:10" x14ac:dyDescent="0.25">
      <c r="A31" s="10" t="s">
        <v>222</v>
      </c>
      <c r="B31" s="15">
        <v>750684</v>
      </c>
      <c r="C31" s="15"/>
      <c r="D31" s="15"/>
      <c r="F31" s="10" t="s">
        <v>119</v>
      </c>
      <c r="G31" s="15">
        <v>246623.3</v>
      </c>
    </row>
    <row r="32" spans="1:10" x14ac:dyDescent="0.25">
      <c r="A32" s="10" t="s">
        <v>142</v>
      </c>
      <c r="B32" s="15">
        <v>730000</v>
      </c>
      <c r="C32" s="15"/>
      <c r="D32" s="15"/>
      <c r="F32" s="10" t="s">
        <v>247</v>
      </c>
      <c r="G32" s="15">
        <v>217000</v>
      </c>
    </row>
    <row r="33" spans="1:7" x14ac:dyDescent="0.25">
      <c r="A33" s="10" t="s">
        <v>75</v>
      </c>
      <c r="B33" s="15">
        <v>647604</v>
      </c>
      <c r="C33" s="15"/>
      <c r="D33" s="15"/>
      <c r="F33" s="10" t="s">
        <v>268</v>
      </c>
      <c r="G33" s="15">
        <v>135650.12</v>
      </c>
    </row>
    <row r="34" spans="1:7" x14ac:dyDescent="0.25">
      <c r="A34" s="10" t="s">
        <v>81</v>
      </c>
      <c r="B34" s="15">
        <v>640000</v>
      </c>
      <c r="C34" s="15"/>
      <c r="D34" s="15"/>
      <c r="F34" s="10" t="s">
        <v>115</v>
      </c>
      <c r="G34" s="15">
        <v>117719.09</v>
      </c>
    </row>
    <row r="35" spans="1:7" x14ac:dyDescent="0.25">
      <c r="A35" s="10" t="s">
        <v>174</v>
      </c>
      <c r="B35" s="15">
        <v>623700</v>
      </c>
      <c r="C35" s="15"/>
      <c r="D35" s="15"/>
      <c r="F35" s="10" t="s">
        <v>114</v>
      </c>
      <c r="G35" s="15">
        <v>102671.18</v>
      </c>
    </row>
    <row r="36" spans="1:7" x14ac:dyDescent="0.25">
      <c r="A36" s="10" t="s">
        <v>140</v>
      </c>
      <c r="B36" s="15">
        <v>614880</v>
      </c>
      <c r="C36" s="15"/>
      <c r="D36" s="15"/>
      <c r="F36" s="10" t="s">
        <v>116</v>
      </c>
      <c r="G36" s="15">
        <v>93240</v>
      </c>
    </row>
    <row r="37" spans="1:7" x14ac:dyDescent="0.25">
      <c r="A37" s="10" t="s">
        <v>220</v>
      </c>
      <c r="B37" s="15">
        <v>597478.89599999995</v>
      </c>
      <c r="C37" s="15"/>
      <c r="D37" s="15"/>
      <c r="F37" s="10" t="s">
        <v>111</v>
      </c>
      <c r="G37" s="15">
        <v>58760.330700000006</v>
      </c>
    </row>
    <row r="38" spans="1:7" x14ac:dyDescent="0.25">
      <c r="A38" s="10" t="s">
        <v>145</v>
      </c>
      <c r="B38" s="15">
        <v>492000</v>
      </c>
      <c r="C38" s="15"/>
      <c r="D38" s="15"/>
      <c r="F38" s="10" t="s">
        <v>112</v>
      </c>
      <c r="G38" s="15">
        <v>50216.25</v>
      </c>
    </row>
    <row r="39" spans="1:7" x14ac:dyDescent="0.25">
      <c r="A39" s="10" t="s">
        <v>312</v>
      </c>
      <c r="B39" s="15">
        <v>442800</v>
      </c>
      <c r="C39" s="15"/>
      <c r="D39" s="15"/>
      <c r="F39" s="10" t="s">
        <v>117</v>
      </c>
      <c r="G39" s="15">
        <v>21309.08</v>
      </c>
    </row>
    <row r="40" spans="1:7" x14ac:dyDescent="0.25">
      <c r="A40" s="10" t="s">
        <v>169</v>
      </c>
      <c r="B40" s="15">
        <v>375000</v>
      </c>
      <c r="C40" s="15"/>
      <c r="D40" s="15"/>
      <c r="F40" s="10" t="s">
        <v>239</v>
      </c>
      <c r="G40" s="15">
        <v>0</v>
      </c>
    </row>
    <row r="41" spans="1:7" x14ac:dyDescent="0.25">
      <c r="A41" s="10" t="s">
        <v>141</v>
      </c>
      <c r="B41" s="15">
        <v>366750</v>
      </c>
      <c r="C41" s="15"/>
      <c r="D41" s="15"/>
      <c r="F41" s="10" t="s">
        <v>179</v>
      </c>
      <c r="G41" s="15">
        <v>81017114.77283372</v>
      </c>
    </row>
    <row r="42" spans="1:7" x14ac:dyDescent="0.25">
      <c r="A42" s="10" t="s">
        <v>173</v>
      </c>
      <c r="B42" s="15">
        <v>315216</v>
      </c>
      <c r="C42" s="15"/>
      <c r="D42" s="15"/>
    </row>
    <row r="43" spans="1:7" x14ac:dyDescent="0.25">
      <c r="A43" s="10" t="s">
        <v>168</v>
      </c>
      <c r="B43" s="15">
        <v>313875</v>
      </c>
      <c r="C43" s="15"/>
      <c r="D43" s="15"/>
    </row>
    <row r="44" spans="1:7" x14ac:dyDescent="0.25">
      <c r="A44" s="10" t="s">
        <v>181</v>
      </c>
      <c r="B44" s="15">
        <v>292779</v>
      </c>
      <c r="C44" s="15"/>
      <c r="D44" s="15"/>
    </row>
    <row r="45" spans="1:7" x14ac:dyDescent="0.25">
      <c r="A45" s="10" t="s">
        <v>146</v>
      </c>
      <c r="B45" s="15">
        <v>280000</v>
      </c>
      <c r="C45" s="15"/>
      <c r="D45" s="15"/>
    </row>
    <row r="46" spans="1:7" x14ac:dyDescent="0.25">
      <c r="A46" s="10" t="s">
        <v>305</v>
      </c>
      <c r="B46" s="15">
        <v>277875</v>
      </c>
      <c r="C46" s="15"/>
      <c r="D46" s="15"/>
    </row>
    <row r="47" spans="1:7" x14ac:dyDescent="0.25">
      <c r="A47" s="10" t="s">
        <v>92</v>
      </c>
      <c r="B47" s="15">
        <v>276780.40000000002</v>
      </c>
      <c r="C47" s="15"/>
      <c r="D47" s="15"/>
    </row>
    <row r="48" spans="1:7" x14ac:dyDescent="0.25">
      <c r="A48" s="10" t="s">
        <v>194</v>
      </c>
      <c r="B48" s="15">
        <v>267300</v>
      </c>
      <c r="C48" s="15"/>
      <c r="D48" s="15"/>
    </row>
    <row r="49" spans="1:4" x14ac:dyDescent="0.25">
      <c r="A49" s="10" t="s">
        <v>136</v>
      </c>
      <c r="B49" s="15">
        <v>263845</v>
      </c>
      <c r="C49" s="15"/>
      <c r="D49" s="15"/>
    </row>
    <row r="50" spans="1:4" x14ac:dyDescent="0.25">
      <c r="A50" s="10" t="s">
        <v>108</v>
      </c>
      <c r="B50" s="15">
        <v>260000</v>
      </c>
      <c r="C50" s="15"/>
      <c r="D50" s="15"/>
    </row>
    <row r="51" spans="1:4" x14ac:dyDescent="0.25">
      <c r="A51" s="10" t="s">
        <v>246</v>
      </c>
      <c r="B51" s="15">
        <v>257036.79999999999</v>
      </c>
      <c r="C51" s="15"/>
      <c r="D51" s="15"/>
    </row>
    <row r="52" spans="1:4" x14ac:dyDescent="0.25">
      <c r="A52" s="10" t="s">
        <v>295</v>
      </c>
      <c r="B52" s="15">
        <v>252937.5</v>
      </c>
      <c r="C52" s="15"/>
      <c r="D52" s="15"/>
    </row>
    <row r="53" spans="1:4" x14ac:dyDescent="0.25">
      <c r="A53" s="10" t="s">
        <v>53</v>
      </c>
      <c r="B53" s="15">
        <v>250992.71999999997</v>
      </c>
      <c r="C53" s="15"/>
      <c r="D53" s="15"/>
    </row>
    <row r="54" spans="1:4" x14ac:dyDescent="0.25">
      <c r="A54" s="10" t="s">
        <v>144</v>
      </c>
      <c r="B54" s="15">
        <v>246000</v>
      </c>
      <c r="C54" s="15"/>
      <c r="D54" s="15"/>
    </row>
    <row r="55" spans="1:4" x14ac:dyDescent="0.25">
      <c r="A55" s="10" t="s">
        <v>67</v>
      </c>
      <c r="B55" s="15">
        <v>238000</v>
      </c>
      <c r="C55" s="15"/>
      <c r="D55" s="15"/>
    </row>
    <row r="56" spans="1:4" x14ac:dyDescent="0.25">
      <c r="A56" s="10" t="s">
        <v>318</v>
      </c>
      <c r="B56" s="15">
        <v>234132.17</v>
      </c>
      <c r="C56" s="15"/>
      <c r="D56" s="15"/>
    </row>
    <row r="57" spans="1:4" x14ac:dyDescent="0.25">
      <c r="A57" s="10" t="s">
        <v>99</v>
      </c>
      <c r="B57" s="15">
        <v>186375</v>
      </c>
      <c r="C57" s="15"/>
      <c r="D57" s="15"/>
    </row>
    <row r="58" spans="1:4" x14ac:dyDescent="0.25">
      <c r="A58" s="10" t="s">
        <v>90</v>
      </c>
      <c r="B58" s="15">
        <v>185954.12</v>
      </c>
      <c r="C58" s="15"/>
      <c r="D58" s="15"/>
    </row>
    <row r="59" spans="1:4" x14ac:dyDescent="0.25">
      <c r="A59" s="10" t="s">
        <v>170</v>
      </c>
      <c r="B59" s="15">
        <v>176800</v>
      </c>
      <c r="C59" s="15"/>
      <c r="D59" s="15"/>
    </row>
    <row r="60" spans="1:4" x14ac:dyDescent="0.25">
      <c r="A60" s="10" t="s">
        <v>158</v>
      </c>
      <c r="B60" s="15">
        <v>176000</v>
      </c>
      <c r="C60" s="15"/>
      <c r="D60" s="15"/>
    </row>
    <row r="61" spans="1:4" x14ac:dyDescent="0.25">
      <c r="A61" s="10" t="s">
        <v>190</v>
      </c>
      <c r="B61" s="15">
        <v>175200</v>
      </c>
      <c r="C61" s="15"/>
      <c r="D61" s="15"/>
    </row>
    <row r="62" spans="1:4" x14ac:dyDescent="0.25">
      <c r="A62" s="10" t="s">
        <v>290</v>
      </c>
      <c r="B62" s="15">
        <v>169076.25</v>
      </c>
      <c r="C62" s="15"/>
      <c r="D62" s="15"/>
    </row>
    <row r="63" spans="1:4" x14ac:dyDescent="0.25">
      <c r="A63" s="10" t="s">
        <v>107</v>
      </c>
      <c r="B63" s="15">
        <v>137450.08263600001</v>
      </c>
      <c r="C63" s="15"/>
      <c r="D63" s="15"/>
    </row>
    <row r="64" spans="1:4" x14ac:dyDescent="0.25">
      <c r="A64" s="10" t="s">
        <v>98</v>
      </c>
      <c r="B64" s="15">
        <v>134193.60000000001</v>
      </c>
      <c r="C64" s="15"/>
      <c r="D64" s="15"/>
    </row>
    <row r="65" spans="1:4" x14ac:dyDescent="0.25">
      <c r="A65" s="10" t="s">
        <v>213</v>
      </c>
      <c r="B65" s="15">
        <v>125892.47</v>
      </c>
      <c r="C65" s="15"/>
      <c r="D65" s="15"/>
    </row>
    <row r="66" spans="1:4" x14ac:dyDescent="0.25">
      <c r="A66" s="10" t="s">
        <v>171</v>
      </c>
      <c r="B66" s="15">
        <v>111600.00000000001</v>
      </c>
      <c r="C66" s="15"/>
      <c r="D66" s="15"/>
    </row>
    <row r="67" spans="1:4" x14ac:dyDescent="0.25">
      <c r="A67" s="10" t="s">
        <v>159</v>
      </c>
      <c r="B67" s="15">
        <v>108613</v>
      </c>
      <c r="C67" s="15"/>
      <c r="D67" s="15"/>
    </row>
    <row r="68" spans="1:4" x14ac:dyDescent="0.25">
      <c r="A68" s="10" t="s">
        <v>248</v>
      </c>
      <c r="B68" s="15">
        <v>94000</v>
      </c>
      <c r="C68" s="15"/>
      <c r="D68" s="15"/>
    </row>
    <row r="69" spans="1:4" x14ac:dyDescent="0.25">
      <c r="A69" s="10" t="s">
        <v>59</v>
      </c>
      <c r="B69" s="15">
        <v>93240</v>
      </c>
      <c r="C69" s="15"/>
      <c r="D69" s="15"/>
    </row>
    <row r="70" spans="1:4" x14ac:dyDescent="0.25">
      <c r="A70" s="10" t="s">
        <v>77</v>
      </c>
      <c r="B70" s="15">
        <v>92200.08</v>
      </c>
      <c r="C70" s="15"/>
      <c r="D70" s="15"/>
    </row>
    <row r="71" spans="1:4" x14ac:dyDescent="0.25">
      <c r="A71" s="10" t="s">
        <v>138</v>
      </c>
      <c r="B71" s="15">
        <v>91480</v>
      </c>
      <c r="C71" s="15"/>
      <c r="D71" s="15"/>
    </row>
    <row r="72" spans="1:4" x14ac:dyDescent="0.25">
      <c r="A72" s="10" t="s">
        <v>50</v>
      </c>
      <c r="B72" s="15">
        <v>90075</v>
      </c>
      <c r="C72" s="15"/>
      <c r="D72" s="15"/>
    </row>
    <row r="73" spans="1:4" x14ac:dyDescent="0.25">
      <c r="A73" s="10" t="s">
        <v>163</v>
      </c>
      <c r="B73" s="15">
        <v>83636.36</v>
      </c>
      <c r="C73" s="15"/>
      <c r="D73" s="15"/>
    </row>
    <row r="74" spans="1:4" x14ac:dyDescent="0.25">
      <c r="A74" s="10" t="s">
        <v>307</v>
      </c>
      <c r="B74" s="15">
        <v>77306.25</v>
      </c>
      <c r="C74" s="15"/>
      <c r="D74" s="15"/>
    </row>
    <row r="75" spans="1:4" x14ac:dyDescent="0.25">
      <c r="A75" s="10" t="s">
        <v>76</v>
      </c>
      <c r="B75" s="15">
        <v>77223.63</v>
      </c>
      <c r="C75" s="15"/>
      <c r="D75" s="15"/>
    </row>
    <row r="76" spans="1:4" x14ac:dyDescent="0.25">
      <c r="A76" s="10" t="s">
        <v>186</v>
      </c>
      <c r="B76" s="15">
        <v>73280.83</v>
      </c>
      <c r="C76" s="15"/>
      <c r="D76" s="15"/>
    </row>
    <row r="77" spans="1:4" x14ac:dyDescent="0.25">
      <c r="A77" s="10" t="s">
        <v>183</v>
      </c>
      <c r="B77" s="15">
        <v>72702.34</v>
      </c>
      <c r="C77" s="15"/>
      <c r="D77" s="15"/>
    </row>
    <row r="78" spans="1:4" x14ac:dyDescent="0.25">
      <c r="A78" s="10" t="s">
        <v>57</v>
      </c>
      <c r="B78" s="15">
        <v>64613.08</v>
      </c>
      <c r="C78" s="15"/>
      <c r="D78" s="15"/>
    </row>
    <row r="79" spans="1:4" x14ac:dyDescent="0.25">
      <c r="A79" s="10" t="s">
        <v>249</v>
      </c>
      <c r="B79" s="15">
        <v>64000</v>
      </c>
      <c r="C79" s="15"/>
      <c r="D79" s="15"/>
    </row>
    <row r="80" spans="1:4" x14ac:dyDescent="0.25">
      <c r="A80" s="10" t="s">
        <v>31</v>
      </c>
      <c r="B80" s="15">
        <v>59504.12</v>
      </c>
      <c r="C80" s="15"/>
      <c r="D80" s="15"/>
    </row>
    <row r="81" spans="1:4" x14ac:dyDescent="0.25">
      <c r="A81" s="10" t="s">
        <v>66</v>
      </c>
      <c r="B81" s="15">
        <v>58760.330700000006</v>
      </c>
      <c r="C81" s="15"/>
      <c r="D81" s="15"/>
    </row>
    <row r="82" spans="1:4" x14ac:dyDescent="0.25">
      <c r="A82" s="10" t="s">
        <v>33</v>
      </c>
      <c r="B82" s="15">
        <v>57851.25</v>
      </c>
      <c r="C82" s="15"/>
      <c r="D82" s="15"/>
    </row>
    <row r="83" spans="1:4" x14ac:dyDescent="0.25">
      <c r="A83" s="10" t="s">
        <v>233</v>
      </c>
      <c r="B83" s="15">
        <v>49500</v>
      </c>
      <c r="C83" s="15"/>
      <c r="D83" s="15"/>
    </row>
    <row r="84" spans="1:4" x14ac:dyDescent="0.25">
      <c r="A84" s="10" t="s">
        <v>198</v>
      </c>
      <c r="B84" s="15">
        <v>42801.64</v>
      </c>
      <c r="C84" s="15"/>
      <c r="D84" s="15"/>
    </row>
    <row r="85" spans="1:4" x14ac:dyDescent="0.25">
      <c r="A85" s="10" t="s">
        <v>55</v>
      </c>
      <c r="B85" s="15">
        <v>37019.699999999997</v>
      </c>
      <c r="C85" s="15"/>
      <c r="D85" s="15"/>
    </row>
    <row r="86" spans="1:4" x14ac:dyDescent="0.25">
      <c r="A86" s="10" t="s">
        <v>267</v>
      </c>
      <c r="B86" s="15">
        <v>36948.550000000003</v>
      </c>
      <c r="C86" s="15"/>
      <c r="D86" s="15"/>
    </row>
    <row r="87" spans="1:4" x14ac:dyDescent="0.25">
      <c r="A87" s="10" t="s">
        <v>58</v>
      </c>
      <c r="B87" s="15">
        <v>32098.51</v>
      </c>
      <c r="C87" s="15"/>
      <c r="D87" s="15"/>
    </row>
    <row r="88" spans="1:4" x14ac:dyDescent="0.25">
      <c r="A88" s="10" t="s">
        <v>71</v>
      </c>
      <c r="B88" s="15">
        <v>29850</v>
      </c>
      <c r="C88" s="15"/>
      <c r="D88" s="15"/>
    </row>
    <row r="89" spans="1:4" x14ac:dyDescent="0.25">
      <c r="A89" s="10" t="s">
        <v>203</v>
      </c>
      <c r="B89" s="15">
        <v>28388.42</v>
      </c>
      <c r="C89" s="15"/>
      <c r="D89" s="15"/>
    </row>
    <row r="90" spans="1:4" x14ac:dyDescent="0.25">
      <c r="A90" s="10" t="s">
        <v>37</v>
      </c>
      <c r="B90" s="15">
        <v>27732.25</v>
      </c>
      <c r="C90" s="15"/>
      <c r="D90" s="15"/>
    </row>
    <row r="91" spans="1:4" x14ac:dyDescent="0.25">
      <c r="A91" s="10" t="s">
        <v>324</v>
      </c>
      <c r="B91" s="15">
        <v>26211.82</v>
      </c>
      <c r="C91" s="15"/>
      <c r="D91" s="15"/>
    </row>
    <row r="92" spans="1:4" x14ac:dyDescent="0.25">
      <c r="A92" s="10" t="s">
        <v>188</v>
      </c>
      <c r="B92" s="15">
        <v>25909.040000000001</v>
      </c>
      <c r="C92" s="15"/>
      <c r="D92" s="15"/>
    </row>
    <row r="93" spans="1:4" x14ac:dyDescent="0.25">
      <c r="A93" s="10" t="s">
        <v>197</v>
      </c>
      <c r="B93" s="15">
        <v>25735.519999999997</v>
      </c>
      <c r="C93" s="15"/>
      <c r="D93" s="15"/>
    </row>
    <row r="94" spans="1:4" x14ac:dyDescent="0.25">
      <c r="A94" s="10" t="s">
        <v>204</v>
      </c>
      <c r="B94" s="15">
        <v>25702.46</v>
      </c>
      <c r="C94" s="15"/>
      <c r="D94" s="15"/>
    </row>
    <row r="95" spans="1:4" x14ac:dyDescent="0.25">
      <c r="A95" s="10" t="s">
        <v>319</v>
      </c>
      <c r="B95" s="15">
        <v>24697.673554500001</v>
      </c>
      <c r="C95" s="15"/>
      <c r="D95" s="15"/>
    </row>
    <row r="96" spans="1:4" x14ac:dyDescent="0.25">
      <c r="A96" s="10" t="s">
        <v>228</v>
      </c>
      <c r="B96" s="15">
        <v>22484</v>
      </c>
      <c r="C96" s="15"/>
      <c r="D96" s="15"/>
    </row>
    <row r="97" spans="1:4" x14ac:dyDescent="0.25">
      <c r="A97" s="10" t="s">
        <v>270</v>
      </c>
      <c r="B97" s="15">
        <v>21309.08</v>
      </c>
      <c r="C97" s="15"/>
      <c r="D97" s="15"/>
    </row>
    <row r="98" spans="1:4" x14ac:dyDescent="0.25">
      <c r="A98" s="10" t="s">
        <v>56</v>
      </c>
      <c r="B98" s="15">
        <v>21007.5</v>
      </c>
      <c r="C98" s="15"/>
      <c r="D98" s="15"/>
    </row>
    <row r="99" spans="1:4" x14ac:dyDescent="0.25">
      <c r="A99" s="10" t="s">
        <v>69</v>
      </c>
      <c r="B99" s="15">
        <v>20870.5</v>
      </c>
      <c r="C99" s="15"/>
      <c r="D99" s="15"/>
    </row>
    <row r="100" spans="1:4" x14ac:dyDescent="0.25">
      <c r="A100" s="10" t="s">
        <v>315</v>
      </c>
      <c r="B100" s="15">
        <v>20587.600000000002</v>
      </c>
      <c r="C100" s="15"/>
      <c r="D100" s="15"/>
    </row>
    <row r="101" spans="1:4" x14ac:dyDescent="0.25">
      <c r="A101" s="10" t="s">
        <v>316</v>
      </c>
      <c r="B101" s="15">
        <v>20587.600000000002</v>
      </c>
      <c r="C101" s="15"/>
      <c r="D101" s="15"/>
    </row>
    <row r="102" spans="1:4" x14ac:dyDescent="0.25">
      <c r="A102" s="10" t="s">
        <v>185</v>
      </c>
      <c r="B102" s="15">
        <v>18834.68</v>
      </c>
      <c r="C102" s="15"/>
      <c r="D102" s="15"/>
    </row>
    <row r="103" spans="1:4" x14ac:dyDescent="0.25">
      <c r="A103" s="10" t="s">
        <v>314</v>
      </c>
      <c r="B103" s="15">
        <v>17612</v>
      </c>
      <c r="C103" s="15"/>
      <c r="D103" s="15"/>
    </row>
    <row r="104" spans="1:4" x14ac:dyDescent="0.25">
      <c r="A104" s="10" t="s">
        <v>313</v>
      </c>
      <c r="B104" s="15">
        <v>17612</v>
      </c>
      <c r="C104" s="15"/>
      <c r="D104" s="15"/>
    </row>
    <row r="105" spans="1:4" x14ac:dyDescent="0.25">
      <c r="A105" s="10" t="s">
        <v>78</v>
      </c>
      <c r="B105" s="15">
        <v>16308</v>
      </c>
      <c r="C105" s="15"/>
      <c r="D105" s="15"/>
    </row>
    <row r="106" spans="1:4" x14ac:dyDescent="0.25">
      <c r="A106" s="10" t="s">
        <v>32</v>
      </c>
      <c r="B106" s="15">
        <v>14876.03</v>
      </c>
      <c r="C106" s="15"/>
      <c r="D106" s="15"/>
    </row>
    <row r="107" spans="1:4" x14ac:dyDescent="0.25">
      <c r="A107" s="10" t="s">
        <v>218</v>
      </c>
      <c r="B107" s="15">
        <v>12612.6</v>
      </c>
      <c r="C107" s="15"/>
      <c r="D107" s="15"/>
    </row>
    <row r="108" spans="1:4" x14ac:dyDescent="0.25">
      <c r="A108" s="10" t="s">
        <v>269</v>
      </c>
      <c r="B108" s="15">
        <v>12596.18</v>
      </c>
      <c r="C108" s="15"/>
      <c r="D108" s="15"/>
    </row>
    <row r="109" spans="1:4" x14ac:dyDescent="0.25">
      <c r="A109" s="10" t="s">
        <v>321</v>
      </c>
      <c r="B109" s="15">
        <v>11844</v>
      </c>
      <c r="C109" s="15"/>
      <c r="D109" s="15"/>
    </row>
    <row r="110" spans="1:4" x14ac:dyDescent="0.25">
      <c r="A110" s="10" t="s">
        <v>302</v>
      </c>
      <c r="B110" s="15">
        <v>9262.5</v>
      </c>
      <c r="C110" s="15"/>
      <c r="D110" s="15"/>
    </row>
    <row r="111" spans="1:4" x14ac:dyDescent="0.25">
      <c r="A111" s="10" t="s">
        <v>189</v>
      </c>
      <c r="B111" s="15">
        <v>8462.7900000000009</v>
      </c>
      <c r="C111" s="15"/>
      <c r="D111" s="15"/>
    </row>
    <row r="112" spans="1:4" x14ac:dyDescent="0.25">
      <c r="A112" s="10" t="s">
        <v>212</v>
      </c>
      <c r="B112" s="15">
        <v>8305.75</v>
      </c>
      <c r="C112" s="15"/>
      <c r="D112" s="15"/>
    </row>
    <row r="113" spans="1:4" x14ac:dyDescent="0.25">
      <c r="A113" s="10" t="s">
        <v>320</v>
      </c>
      <c r="B113" s="15">
        <v>8107.5</v>
      </c>
      <c r="C113" s="15"/>
      <c r="D113" s="15"/>
    </row>
    <row r="114" spans="1:4" x14ac:dyDescent="0.25">
      <c r="A114" s="10" t="s">
        <v>216</v>
      </c>
      <c r="B114" s="15">
        <v>7922.2</v>
      </c>
      <c r="C114" s="15"/>
      <c r="D114" s="15"/>
    </row>
    <row r="115" spans="1:4" x14ac:dyDescent="0.25">
      <c r="A115" s="10" t="s">
        <v>200</v>
      </c>
      <c r="B115" s="15">
        <v>7603.3</v>
      </c>
      <c r="C115" s="15"/>
      <c r="D115" s="15"/>
    </row>
    <row r="116" spans="1:4" x14ac:dyDescent="0.25">
      <c r="A116" s="10" t="s">
        <v>322</v>
      </c>
      <c r="B116" s="15">
        <v>6675.84</v>
      </c>
      <c r="C116" s="15"/>
      <c r="D116" s="15"/>
    </row>
    <row r="117" spans="1:4" x14ac:dyDescent="0.25">
      <c r="A117" s="10" t="s">
        <v>187</v>
      </c>
      <c r="B117" s="15">
        <v>5743.77</v>
      </c>
      <c r="C117" s="15"/>
      <c r="D117" s="15"/>
    </row>
    <row r="118" spans="1:4" x14ac:dyDescent="0.25">
      <c r="A118" s="10" t="s">
        <v>211</v>
      </c>
      <c r="B118" s="15">
        <v>4578.5</v>
      </c>
      <c r="C118" s="15"/>
      <c r="D118" s="15"/>
    </row>
    <row r="119" spans="1:4" x14ac:dyDescent="0.25">
      <c r="A119" s="10" t="s">
        <v>195</v>
      </c>
      <c r="B119" s="15">
        <v>3595</v>
      </c>
      <c r="C119" s="15"/>
      <c r="D119" s="15"/>
    </row>
    <row r="120" spans="1:4" x14ac:dyDescent="0.25">
      <c r="A120" s="10" t="s">
        <v>323</v>
      </c>
      <c r="B120" s="15">
        <v>2690.65</v>
      </c>
      <c r="C120" s="15"/>
      <c r="D120" s="15"/>
    </row>
    <row r="121" spans="1:4" x14ac:dyDescent="0.25">
      <c r="A121" s="10" t="s">
        <v>317</v>
      </c>
      <c r="B121" s="15">
        <v>1996.56</v>
      </c>
      <c r="C121" s="15"/>
      <c r="D121" s="15"/>
    </row>
    <row r="122" spans="1:4" x14ac:dyDescent="0.25">
      <c r="A122" s="10" t="s">
        <v>239</v>
      </c>
      <c r="B122" s="15">
        <v>0</v>
      </c>
      <c r="C122" s="15"/>
      <c r="D122" s="15"/>
    </row>
    <row r="123" spans="1:4" x14ac:dyDescent="0.25">
      <c r="A123" s="10" t="s">
        <v>179</v>
      </c>
      <c r="B123" s="15">
        <v>83773124.852833703</v>
      </c>
      <c r="C123" s="15"/>
      <c r="D123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551216-A829-47F6-8653-3B970DA643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Historial de compras</vt:lpstr>
      <vt:lpstr>Cotizaciones</vt:lpstr>
      <vt:lpstr>TC_BNA xlsx</vt:lpstr>
      <vt:lpstr>TD - Insumos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Jazmin Lopez</dc:creator>
  <cp:lastModifiedBy>Jazmin Lopez</cp:lastModifiedBy>
  <dcterms:created xsi:type="dcterms:W3CDTF">2026-07-02T11:21:30Z</dcterms:created>
  <dcterms:modified xsi:type="dcterms:W3CDTF">2026-07-31T12:41:22Z</dcterms:modified>
</cp:coreProperties>
</file>